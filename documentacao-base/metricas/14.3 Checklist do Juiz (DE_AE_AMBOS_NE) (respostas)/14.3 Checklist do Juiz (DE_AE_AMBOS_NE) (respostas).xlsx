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<sst xmlns="http://schemas.openxmlformats.org/spreadsheetml/2006/main" count="690" uniqueCount="176">
  <si>
    <t>Carimbo de data/hora</t>
  </si>
  <si>
    <t>Endereço de e-mail</t>
  </si>
  <si>
    <t>Nome do Anotador</t>
  </si>
  <si>
    <t>Discente ou Docente?</t>
  </si>
  <si>
    <t>Faculdade</t>
  </si>
  <si>
    <t>Curso / Formação</t>
  </si>
  <si>
    <t>Checklist - VER-001-R1-001 [(JUI-01) Decisão do Juiz foi correta?]</t>
  </si>
  <si>
    <t>Checklist - VER-001-R1-001 [(JUI-02) O Juiz utilizou corretamente as evidências disponíveis na fundamentação?]</t>
  </si>
  <si>
    <t>Checklist - VER-001-R1-001 [(JUI-03) O depoimento do Arquiteto (ARG-) foi considerado na decisão?]</t>
  </si>
  <si>
    <t>Checklist - VER-001-R1-001 [(JUI-04) O depoimento do Developer (DEP-) foi considerado na decisão?]</t>
  </si>
  <si>
    <t>Checklist - VER-001-R1-002 [(JUI-01) Decisão do Juiz foi correta?]</t>
  </si>
  <si>
    <t>Checklist - VER-001-R1-002 [(JUI-02) O Juiz utilizou corretamente as evidências disponíveis na fundamentação?]</t>
  </si>
  <si>
    <t>Checklist - VER-001-R1-002 [(JUI-03) O depoimento do Arquiteto (ARG-) foi considerado na decisão?]</t>
  </si>
  <si>
    <t>Checklist - VER-001-R1-002 [(JUI-04) O depoimento do Developer (DEP-) foi considerado na decisão?]</t>
  </si>
  <si>
    <t>Checklist - VER-001-R1-003 [(JUI-01) Decisão do Juiz foi correta?]</t>
  </si>
  <si>
    <t>Checklist - VER-001-R1-003 [(JUI-02) O Juiz utilizou corretamente as evidências disponíveis na fundamentação?]</t>
  </si>
  <si>
    <t>Checklist - VER-001-R1-003 [(JUI-03) O depoimento do Arquiteto (ARG-) foi considerado na decisão?]</t>
  </si>
  <si>
    <t>Checklist - VER-001-R1-003 [(JUI-04) O depoimento do Developer (DEP-) foi considerado na decisão?]</t>
  </si>
  <si>
    <t>Checklist - VER-001-R1-004 [(JUI-01) Decisão do Juiz foi correta?]</t>
  </si>
  <si>
    <t>Checklist - VER-001-R1-004 [(JUI-02) O Juiz utilizou corretamente as evidências disponíveis na fundamentação?]</t>
  </si>
  <si>
    <t>Checklist - VER-001-R1-004 [(JUI-03) O depoimento do Arquiteto (ARG-) foi considerado na decisão?]</t>
  </si>
  <si>
    <t>Checklist - VER-001-R1-004 [(JUI-04) O depoimento do Developer (DEP-) foi considerado na decisão?]</t>
  </si>
  <si>
    <t>Checklist - VER-001-R1-005 [(JUI-01) Decisão do Juiz foi correta?]</t>
  </si>
  <si>
    <t>Checklist - VER-001-R1-005 [(JUI-02) O Juiz utilizou corretamente as evidências disponíveis na fundamentação?]</t>
  </si>
  <si>
    <t>Checklist - VER-001-R1-005 [(JUI-03) O depoimento do Arquiteto (ARG-) foi considerado na decisão?]</t>
  </si>
  <si>
    <t>Checklist - VER-001-R1-005 [(JUI-04) O depoimento do Developer (DEP-) foi considerado na decisão?]</t>
  </si>
  <si>
    <t>Checklist - VER-001-R1-006 [(JUI-01) Decisão do Juiz foi correta?]</t>
  </si>
  <si>
    <t>Checklist - VER-001-R1-006 [(JUI-02) O Juiz utilizou corretamente as evidências disponíveis na fundamentação?]</t>
  </si>
  <si>
    <t>Checklist - VER-001-R1-006 [(JUI-03) O depoimento do Arquiteto (ARG-) foi considerado na decisão?]</t>
  </si>
  <si>
    <t>Checklist - VER-001-R1-006 [(JUI-04) O depoimento do Developer (DEP-) foi considerado na decisão?]</t>
  </si>
  <si>
    <t>Checklist - VER-001-R2-001 [(JUI-01) Decisão do Juiz foi correta?]</t>
  </si>
  <si>
    <t>Checklist - VER-001-R2-001 [(JUI-02) O Juiz utilizou corretamente as evidências disponíveis na fundamentação?]</t>
  </si>
  <si>
    <t>Checklist - VER-001-R2-001 [(JUI-03) O depoimento do Arquiteto (ARG-) foi considerado na decisão?]</t>
  </si>
  <si>
    <t>Checklist - VER-001-R2-001 [(JUI-04) O depoimento do Developer (DEP-) foi considerado na decisão?]</t>
  </si>
  <si>
    <t>Checklist - VER-001-R2-002 [(JUI-01) Decisão do Juiz foi correta?]</t>
  </si>
  <si>
    <t>Checklist - VER-001-R2-002 [(JUI-02) O Juiz utilizou corretamente as evidências disponíveis na fundamentação?]</t>
  </si>
  <si>
    <t>Checklist - VER-001-R2-002 [(JUI-03) O depoimento do Arquiteto (ARG-) foi considerado na decisão?]</t>
  </si>
  <si>
    <t>Checklist - VER-001-R2-002 [(JUI-04) O depoimento do Developer (DEP-) foi considerado na decisão?]</t>
  </si>
  <si>
    <t>Checklist - VER-001-R2-003 [(JUI-01) Decisão do Juiz foi correta?]</t>
  </si>
  <si>
    <t>Checklist - VER-001-R2-003 [(JUI-02) O Juiz utilizou corretamente as evidências disponíveis na fundamentação?]</t>
  </si>
  <si>
    <t>Checklist - VER-001-R2-003 [(JUI-03) O depoimento do Arquiteto (ARG-) foi considerado na decisão?]</t>
  </si>
  <si>
    <t>Checklist - VER-001-R2-003 [(JUI-04) O depoimento do Developer (DEP-) foi considerado na decisão?]</t>
  </si>
  <si>
    <t>Checklist - VER-001-R2-004 [(JUI-01) Decisão do Juiz foi correta?]</t>
  </si>
  <si>
    <t>Checklist - VER-001-R2-004 [(JUI-02) O Juiz utilizou corretamente as evidências disponíveis na fundamentação?]</t>
  </si>
  <si>
    <t>Checklist - VER-001-R2-004 [(JUI-03) O depoimento do Arquiteto (ARG-) foi considerado na decisão?]</t>
  </si>
  <si>
    <t>Checklist - VER-001-R2-004 [(JUI-04) O depoimento do Developer (DEP-) foi considerado na decisão?]</t>
  </si>
  <si>
    <t>Checklist - VER-001-R2-005 [(JUI-01) Decisão do Juiz foi correta?]</t>
  </si>
  <si>
    <t>Checklist - VER-001-R2-005 [(JUI-02) O Juiz utilizou corretamente as evidências disponíveis na fundamentação?]</t>
  </si>
  <si>
    <t>Checklist - VER-001-R2-005 [(JUI-03) O depoimento do Arquiteto (ARG-) foi considerado na decisão?]</t>
  </si>
  <si>
    <t>Checklist - VER-001-R2-005 [(JUI-04) O depoimento do Developer (DEP-) foi considerado na decisão?]</t>
  </si>
  <si>
    <t>Checklist - VER-001-R2-006 [(JUI-01) Decisão do Juiz foi correta?]</t>
  </si>
  <si>
    <t>Checklist - VER-001-R2-006 [(JUI-02) O Juiz utilizou corretamente as evidências disponíveis na fundamentação?]</t>
  </si>
  <si>
    <t>Checklist - VER-001-R2-006 [(JUI-03) O depoimento do Arquiteto (ARG-) foi considerado na decisão?]</t>
  </si>
  <si>
    <t>Checklist - VER-001-R2-006 [(JUI-04) O depoimento do Developer (DEP-) foi considerado na decisão?]</t>
  </si>
  <si>
    <t>Checklist - VER-002-R1-001 [(JUI-01) Decisão do Juiz foi correta?]</t>
  </si>
  <si>
    <t>Checklist - VER-002-R1-001 [(JUI-02) O Juiz utilizou corretamente as evidências disponíveis na fundamentação?]</t>
  </si>
  <si>
    <t>Checklist - VER-002-R1-001 [(JUI-03) O depoimento do Arquiteto (ARG-) foi considerado na decisão?]</t>
  </si>
  <si>
    <t>Checklist - VER-002-R1-001 [(JUI-04) O depoimento do Developer (DEP-) foi considerado na decisão?]</t>
  </si>
  <si>
    <t>Checklist - VER-002-R1-002 [(JUI-01) Decisão do Juiz foi correta?]</t>
  </si>
  <si>
    <t>Checklist - VER-002-R1-002 [(JUI-02) O Juiz utilizou corretamente as evidências disponíveis na fundamentação?]</t>
  </si>
  <si>
    <t>Checklist - VER-002-R1-002 [(JUI-03) O depoimento do Arquiteto (ARG-) foi considerado na decisão?]</t>
  </si>
  <si>
    <t>Checklist - VER-002-R1-002 [(JUI-04) O depoimento do Developer (DEP-) foi considerado na decisão?]</t>
  </si>
  <si>
    <t>Checklist - VER-002-R2-001 [(JUI-01) Decisão do Juiz foi correta?]</t>
  </si>
  <si>
    <t>Checklist - VER-002-R2-001 [(JUI-02) O Juiz utilizou corretamente as evidências disponíveis na fundamentação?]</t>
  </si>
  <si>
    <t>Checklist - VER-002-R2-001 [(JUI-03) O depoimento do Arquiteto (ARG-) foi considerado na decisão?]</t>
  </si>
  <si>
    <t>Checklist - VER-002-R2-001 [(JUI-04) O depoimento do Developer (DEP-) foi considerado na decisão?]</t>
  </si>
  <si>
    <t>Checklist - VER-002-R2-002 [(JUI-01) Decisão do Juiz foi correta?]</t>
  </si>
  <si>
    <t>Checklist - VER-002-R2-002 [(JUI-02) O Juiz utilizou corretamente as evidências disponíveis na fundamentação?]</t>
  </si>
  <si>
    <t>Checklist - VER-002-R2-002 [(JUI-03) O depoimento do Arquiteto (ARG-) foi considerado na decisão?]</t>
  </si>
  <si>
    <t>Checklist - VER-002-R2-002 [(JUI-04) O depoimento do Developer (DEP-) foi considerado na decisão?]</t>
  </si>
  <si>
    <t>Checklist - VER-S3T004T005-R1-001 [(JUI-01) Decisão do Juiz foi correta?]</t>
  </si>
  <si>
    <t>Checklist - VER-S3T004T005-R1-001 [(JUI-02) O Juiz utilizou corretamente as evidências disponíveis na fundamentação?]</t>
  </si>
  <si>
    <t>Checklist - VER-S3T004T005-R1-001 [(JUI-03) O depoimento do Arquiteto (ARG-) foi considerado na decisão?]</t>
  </si>
  <si>
    <t>Checklist - VER-S3T004T005-R1-001 [(JUI-04) O depoimento do Developer (DEP-) foi considerado na decisão?]</t>
  </si>
  <si>
    <t>Checklist - VER-S3T004T005-R1-002 [(JUI-01) Decisão do Juiz foi correta?]</t>
  </si>
  <si>
    <t>Checklist - VER-S3T004T005-R1-002 [(JUI-02) O Juiz utilizou corretamente as evidências disponíveis na fundamentação?]</t>
  </si>
  <si>
    <t>Checklist - VER-S3T004T005-R1-002 [(JUI-03) O depoimento do Arquiteto (ARG-) foi considerado na decisão?]</t>
  </si>
  <si>
    <t>Checklist - VER-S3T004T005-R1-002 [(JUI-04) O depoimento do Developer (DEP-) foi considerado na decisão?]</t>
  </si>
  <si>
    <t>Checklist - VER-S3T004T005-R1-003 [(JUI-01) Decisão do Juiz foi correta?]</t>
  </si>
  <si>
    <t>Checklist - VER-S3T004T005-R1-003 [(JUI-02) O Juiz utilizou corretamente as evidências disponíveis na fundamentação?]</t>
  </si>
  <si>
    <t>Checklist - VER-S3T004T005-R1-003 [(JUI-03) O depoimento do Arquiteto (ARG-) foi considerado na decisão?]</t>
  </si>
  <si>
    <t>Checklist - VER-S3T004T005-R1-003 [(JUI-04) O depoimento do Developer (DEP-) foi considerado na decisão?]</t>
  </si>
  <si>
    <t>Checklist - VER-S3T004T005-R1-004 [(JUI-01) Decisão do Juiz foi correta?]</t>
  </si>
  <si>
    <t>Checklist - VER-S3T004T005-R1-004 [(JUI-02) O Juiz utilizou corretamente as evidências disponíveis na fundamentação?]</t>
  </si>
  <si>
    <t>Checklist - VER-S3T004T005-R1-004 [(JUI-03) O depoimento do Arquiteto (ARG-) foi considerado na decisão?]</t>
  </si>
  <si>
    <t>Checklist - VER-S3T004T005-R1-004 [(JUI-04) O depoimento do Developer (DEP-) foi considerado na decisão?]</t>
  </si>
  <si>
    <t>Checklist - VER-S3T004T005-R1-005 [(JUI-01) Decisão do Juiz foi correta?]</t>
  </si>
  <si>
    <t>Checklist - VER-S3T004T005-R1-005 [(JUI-02) O Juiz utilizou corretamente as evidências disponíveis na fundamentação?]</t>
  </si>
  <si>
    <t>Checklist - VER-S3T004T005-R1-005 [(JUI-03) O depoimento do Arquiteto (ARG-) foi considerado na decisão?]</t>
  </si>
  <si>
    <t>Checklist - VER-S3T004T005-R1-005 [(JUI-04) O depoimento do Developer (DEP-) foi considerado na decisão?]</t>
  </si>
  <si>
    <t>Checklist - VER-S3T006-R1-001 [(JUI-01) Decisão do Juiz foi correta?]</t>
  </si>
  <si>
    <t>Checklist - VER-S3T006-R1-001 [(JUI-02) O Juiz utilizou corretamente as evidências disponíveis na fundamentação?]</t>
  </si>
  <si>
    <t>Checklist - VER-S3T006-R1-001 [(JUI-03) O depoimento do Arquiteto (ARG-) foi considerado na decisão?]</t>
  </si>
  <si>
    <t>Checklist - VER-S3T006-R1-001 [(JUI-04) O depoimento do Developer (DEP-) foi considerado na decisão?]</t>
  </si>
  <si>
    <t>Checklist - VER-S3T006-R1-002 [(JUI-01) Decisão do Juiz foi correta?]</t>
  </si>
  <si>
    <t>Checklist - VER-S3T006-R1-002 [(JUI-02) O Juiz utilizou corretamente as evidências disponíveis na fundamentação?]</t>
  </si>
  <si>
    <t>Checklist - VER-S3T006-R1-002 [(JUI-03) O depoimento do Arquiteto (ARG-) foi considerado na decisão?]</t>
  </si>
  <si>
    <t>Checklist - VER-S3T006-R1-002 [(JUI-04) O depoimento do Developer (DEP-) foi considerado na decisão?]</t>
  </si>
  <si>
    <t>Checklist - VER-S3T006-R1-003 [(JUI-01) Decisão do Juiz foi correta?]</t>
  </si>
  <si>
    <t>Checklist - VER-S3T006-R1-003 [(JUI-02) O Juiz utilizou corretamente as evidências disponíveis na fundamentação?]</t>
  </si>
  <si>
    <t>Checklist - VER-S3T006-R1-003 [(JUI-03) O depoimento do Arquiteto (ARG-) foi considerado na decisão?]</t>
  </si>
  <si>
    <t>Checklist - VER-S3T006-R1-003 [(JUI-04) O depoimento do Developer (DEP-) foi considerado na decisão?]</t>
  </si>
  <si>
    <t>Checklist - VER-S3T006-R1-004 [(JUI-01) Decisão do Juiz foi correta?]</t>
  </si>
  <si>
    <t>Checklist - VER-S3T006-R1-004 [(JUI-02) O Juiz utilizou corretamente as evidências disponíveis na fundamentação?]</t>
  </si>
  <si>
    <t>Checklist - VER-S3T006-R1-004 [(JUI-03) O depoimento do Arquiteto (ARG-) foi considerado na decisão?]</t>
  </si>
  <si>
    <t>Checklist - VER-S3T006-R1-004 [(JUI-04) O depoimento do Developer (DEP-) foi considerado na decisão?]</t>
  </si>
  <si>
    <t>Checklist - VER-S3T006-R1-005 [(JUI-01) Decisão do Juiz foi correta?]</t>
  </si>
  <si>
    <t>Checklist - VER-S3T006-R1-005 [(JUI-02) O Juiz utilizou corretamente as evidências disponíveis na fundamentação?]</t>
  </si>
  <si>
    <t>Checklist - VER-S3T006-R1-005 [(JUI-03) O depoimento do Arquiteto (ARG-) foi considerado na decisão?]</t>
  </si>
  <si>
    <t>Checklist - VER-S3T006-R1-005 [(JUI-04) O depoimento do Developer (DEP-) foi considerado na decisão?]</t>
  </si>
  <si>
    <t>Checklist - VER-S3T007-R1-001 [(JUI-01) Decisão do Juiz foi correta?]</t>
  </si>
  <si>
    <t>Checklist - VER-S3T007-R1-001 [(JUI-02) O Juiz utilizou corretamente as evidências disponíveis na fundamentação?]</t>
  </si>
  <si>
    <t>Checklist - VER-S3T007-R1-001 [(JUI-03) O depoimento do Arquiteto (ARG-) foi considerado na decisão?]</t>
  </si>
  <si>
    <t>Checklist - VER-S3T007-R1-001 [(JUI-04) O depoimento do Developer (DEP-) foi considerado na decisão?]</t>
  </si>
  <si>
    <t>Checklist - VER-S3T007-R1-002 [(JUI-01) Decisão do Juiz foi correta?]</t>
  </si>
  <si>
    <t>Checklist - VER-S3T007-R1-002 [(JUI-02) O Juiz utilizou corretamente as evidências disponíveis na fundamentação?]</t>
  </si>
  <si>
    <t>Checklist - VER-S3T007-R1-002 [(JUI-03) O depoimento do Arquiteto (ARG-) foi considerado na decisão?]</t>
  </si>
  <si>
    <t>Checklist - VER-S3T007-R1-002 [(JUI-04) O depoimento do Developer (DEP-) foi considerado na decisão?]</t>
  </si>
  <si>
    <t>Checklist - VER-S3T007-R1-003 [(JUI-01) Decisão do Juiz foi correta?]</t>
  </si>
  <si>
    <t>Checklist - VER-S3T007-R1-003 [(JUI-02) O Juiz utilizou corretamente as evidências disponíveis na fundamentação?]</t>
  </si>
  <si>
    <t>Checklist - VER-S3T007-R1-003 [(JUI-03) O depoimento do Arquiteto (ARG-) foi considerado na decisão?]</t>
  </si>
  <si>
    <t>Checklist - VER-S3T007-R1-003 [(JUI-04) O depoimento do Developer (DEP-) foi considerado na decisão?]</t>
  </si>
  <si>
    <t>Checklist - VER-S3T007-R1-004 [(JUI-01) Decisão do Juiz foi correta?]</t>
  </si>
  <si>
    <t>Checklist - VER-S3T007-R1-004 [(JUI-02) O Juiz utilizou corretamente as evidências disponíveis na fundamentação?]</t>
  </si>
  <si>
    <t>Checklist - VER-S3T007-R1-004 [(JUI-03) O depoimento do Arquiteto (ARG-) foi considerado na decisão?]</t>
  </si>
  <si>
    <t>Checklist - VER-S3T007-R1-004 [(JUI-04) O depoimento do Developer (DEP-) foi considerado na decisão?]</t>
  </si>
  <si>
    <t>Checklist - VER-S3T007-R1-005 [(JUI-01) Decisão do Juiz foi correta?]</t>
  </si>
  <si>
    <t>Checklist - VER-S3T007-R1-005 [(JUI-02) O Juiz utilizou corretamente as evidências disponíveis na fundamentação?]</t>
  </si>
  <si>
    <t>Checklist - VER-S3T007-R1-005 [(JUI-03) O depoimento do Arquiteto (ARG-) foi considerado na decisão?]</t>
  </si>
  <si>
    <t>Checklist - VER-S3T007-R1-005 [(JUI-04) O depoimento do Developer (DEP-) foi considerado na decisão?]</t>
  </si>
  <si>
    <t>Observações, justificativas ou comentários adicionais sobre os Vereditos</t>
  </si>
  <si>
    <t>yuan_calixto@discente.ufg.br</t>
  </si>
  <si>
    <t>Yuan Andrade Calixto dos Santos</t>
  </si>
  <si>
    <t>Discente</t>
  </si>
  <si>
    <t>Universidade Federal de Goiás</t>
  </si>
  <si>
    <t>Engenharia de Software</t>
  </si>
  <si>
    <t>Sim</t>
  </si>
  <si>
    <t>Não</t>
  </si>
  <si>
    <t>ribeirogustavo@egresso.ufg.br</t>
  </si>
  <si>
    <t>Gustavo Rodrigues Ribeiro</t>
  </si>
  <si>
    <t>Ciência da Computação</t>
  </si>
  <si>
    <t>Vale lembrar que, durante a análise do julgamento realizada pelo Juiz na Sprint 3, foram consideradas como base as justificativas apresentadas pelo Arquiteto e pelo Desenvolvedor. Também foi levado em conta o fato de que essa Sprint foi executada sem a utilização do Speck-Kit como método e framework de referência.</t>
  </si>
  <si>
    <t>maria_campos@discente.ufg.br</t>
  </si>
  <si>
    <t>Maria Eduarda de Campos Ramos</t>
  </si>
  <si>
    <t>UFG</t>
  </si>
  <si>
    <t>Bacharel em Sistemas de Informação, atualmente mestranda em Ciência da Computação</t>
  </si>
  <si>
    <t>Eu, particularmente, tive bastante dificuldade para avaliar os vereditos da Sprint 03 pela sua densidade de detalhamento da modelagem e código.</t>
  </si>
  <si>
    <t>Marcelo Akira Inuzuka</t>
  </si>
  <si>
    <t>Resolvido em Rodada Anterior</t>
  </si>
  <si>
    <t>Conclusão ajustada: o veredito correto não deveria ser simplesmente DE — Developer Errado dentro da matriz de inconsistência modelo-código. O mais rigoroso seria:
NE — Ninguém Errado quanto ao alinhamento modelo-código,
com observação de que a Polícia reportou um bug de código fora do escopo de inconsistência modelo-código.</t>
  </si>
  <si>
    <t>O resultado NE — Ninguém Errado está correto, porque loadAllSortings() é método auxiliar privado e não precisa constar no modelo. Porém, o Juiz deveria explicitar que a denúncia da Polícia era improcedente e configurava falso positivo, não apenas uma diferença aceitável entre modelo e código.</t>
  </si>
  <si>
    <t>O Juiz usou corretamente as evidências para concluir que o método era privado, auxiliar e interno à operação pública initialize(...). No entanto, faltou tirar a consequência metodológica mais rigorosa: se métodos auxiliares privados não devem constar no modelo, então o tipo da evidência — “método extra” ou equivalente — não se aplica. A fundamentação deveria rejeitar a denúncia por inadequação do tipo.</t>
  </si>
  <si>
    <t>O argumento do Arquiteto de que métodos privados auxiliares não pertencem ao nível de abstração do modelo sustenta diretamente a improcedência da evidência. Portanto, o Juiz considerou o ARG, mas poderia ter deixado mais claro que esse depoimento invalida a denúncia da Polícia.</t>
  </si>
  <si>
    <t>O Developer explicou que loadAllSortings() era detalhe interno de orquestração usado por initialize(...). Esse depoimento confirma que o método não compõe contrato público, RF ou fluxo modelável da sprint. Assim, ele não apenas reduz culpa do Developer; ele mostra que não havia inconsistência real.</t>
  </si>
  <si>
    <t>A decisão NE — Ninguém Errado está correta porque lastUpdated e loadingProgress são atributos internos de instrumentação, não elementos essenciais do contrato funcional modelado. O próprio veredito afirma que o modelo lista os atributos essenciais (sortedKeyphrases, username, topicName, isLoading) e que os atributos extras servem para cache/debug e controle interno de progresso, sem alterar o comportamento funcional.</t>
  </si>
  <si>
    <t>O Juiz usou bem as evidências para concluir que os atributos eram internos, preexistentes e fora do escopo funcional da modelagem. Porém, de modo mais rigoroso, deveria ter explicitado que o tipo ATRIBUTO_EXTRAS não se aplica como inconsistência modelo-código. Se atributos de instrumentação não precisam constar no modelo, então a denúncia não é apenas “aceitável”; ela é improcedente como inconsistência. O próprio documento conclui que nenhuma das cinco evidências apontava inconsistência real e recomenda documentar a granularidade para evitar falsos positivos de METODO_EXTRAS e ATRIBUTO_EXTRAS</t>
  </si>
  <si>
    <t>O veredito afirma que o Arquiteto reconheceu que lastUpdated e loadingProgress eram atributos de implementação fora do escopo do modelo, e que sua ausência não invalidava o comportamento modelado. Isso sustenta diretamente a decisão NE.</t>
  </si>
  <si>
    <t>O Developer explicou que esses atributos eram detalhes de implementação que não afetavam o comportamento funcional modelado. O Juiz incorporou esse ponto ao afirmar que eles eram atributos de instrumentação, preexistentes, não introduzidos pela sprint e sem impacto no RF-007.</t>
  </si>
  <si>
    <t>A decisão NE — Ninguém Errado está correta. A evidência apontava get_keyphrase_similarity_with_clusters() como método existente no código, mas ausente no modelo. Porém, o próprio veredito registra que o RF associado era nenhum e que o modelo foi deliberadamente limitado ao RF-008, isto é, ao algoritmo de pares recíprocos em get_keyphrase_descriptions(). O método apontado pertence ao branch CLUSTER_SIMILARITY, não ao branch PAIRWISE_SIMILARITY da T007.</t>
  </si>
  <si>
    <t>O Juiz usou corretamente os elementos centrais: o método era preexistente, não foi modificado pela T007, não é chamado pelo algoritmo de pares recíprocos e serve a outro fluxo funcional. Isso sustenta a conclusão de que sua ausência no modelo não caracteriza inconsistência. A formulação mais rigorosa seria dizer que o tipo METODO_EXTRAS não se aplica e que a evidência é falso positivo da Polícia, porque compara o modelo da sprint com código legado fora do escopo.</t>
  </si>
  <si>
    <t>O veredito afirma que o Arquiteto confirmou que “o modelo cobre apenas o escopo do RF-008” e, depois, registra que o Arquiteto declarou que esse método “não deveria gerar evidência de inconsistência”, por ser anterior à sprint e não fazer parte do fluxo PAIRWISE_SIMILARITY. Esse argumento foi incorporado diretamente à conclusão do Juiz.</t>
  </si>
  <si>
    <t>O Developer explicou que o algoritmo T007 opera sobre as colunas 0–3, isto é, id, content, best_pair_id e similarity, enquanto get_keyphrase_similarity_with_clusters() alimenta colunas auxiliares do branch CLUSTER_SIMILARITY. O Juiz adotou essa distinção para concluir que o método não pertence ao fluxo modelado da T007.</t>
  </si>
  <si>
    <t>A decisão NE — Ninguém Errado está correta. A evidência apontava como “métodos extras” get_cluster_similarity_matrix() e get_pairwise_cluster_similarity(), mas o próprio veredito afirma que eles pertencem ao domínio de cluster similarity, enquanto a T007/RF-008 trata de keyphrase pairwise similarity. Embora estejam na mesma classe KeyphraseClustering, são funcionalmente independentes do algoritmo da sprint.</t>
  </si>
  <si>
    <t>O Juiz usou corretamente as evidências: verificou que get_cluster_similarity_matrix() constrói matriz N×N de similaridade entre clusters, que get_pairwise_cluster_similarity() encontra pares de clusters similares, que ambos são chamados pelo branch de cluster sorting, não por get_keyphrase_descriptions(), e que nenhum foi modificado pela T007. A ressalva é que o Juiz poderia ter dito de modo mais explícito: o tipo METODO_EXTRAS não se aplica como inconsistência da T007; trata-se de falso positivo da Polícia.</t>
  </si>
  <si>
    <t>O veredito registra que o Arquiteto foi enfático: métodos de cluster similarity matrix não estão no escopo e não deveriam gerar evidência. Essa posição foi incorporada diretamente à conclusão de que o modelo estava correto dentro de seu escopo limitado a keyphrase pairwise similarity.</t>
  </si>
  <si>
    <t>O veredito registra que o Developer explicou a distinção funcional: os métodos denunciados operam em cluster similarity, enquanto a T007 opera em keyphrase pairwise similarity. O Juiz aceitou essa distinção para concluir que eles não pertenciam ao fluxo modelado da T007.</t>
  </si>
  <si>
    <t>Total</t>
  </si>
  <si>
    <t>Correta</t>
  </si>
  <si>
    <t>Incorreta</t>
  </si>
  <si>
    <t>Decisão Juiz</t>
  </si>
  <si>
    <t>Utilização Evidencia</t>
  </si>
  <si>
    <t>Utilização Depoimento Arquiteto</t>
  </si>
  <si>
    <t>Utilização Depoimento Developer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</si>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</sst>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A6" displayName="Form_Responses" name="Form_Responses" id="1">
  <tableColumns count="131">
    <tableColumn name="Carimbo de data/hora" id="1"/>
    <tableColumn name="Endereço de e-mail" id="2"/>
    <tableColumn name="Nome do Anotador" id="3"/>
    <tableColumn name="Discente ou Docente?" id="4"/>
    <tableColumn name="Faculdade" id="5"/>
    <tableColumn name="Curso / Formação" id="6"/>
    <tableColumn name="Checklist - VER-001-R1-001 [(JUI-01) Decisão do Juiz foi correta?]" id="7"/>
    <tableColumn name="Checklist - VER-001-R1-001 [(JUI-02) O Juiz utilizou corretamente as evidências disponíveis na fundamentação?]" id="8"/>
    <tableColumn name="Checklist - VER-001-R1-001 [(JUI-03) O depoimento do Arquiteto (ARG-) foi considerado na decisão?]" id="9"/>
    <tableColumn name="Checklist - VER-001-R1-001 [(JUI-04) O depoimento do Developer (DEP-) foi considerado na decisão?]" id="10"/>
    <tableColumn name="Checklist - VER-001-R1-002 [(JUI-01) Decisão do Juiz foi correta?]" id="11"/>
    <tableColumn name="Checklist - VER-001-R1-002 [(JUI-02) O Juiz utilizou corretamente as evidências disponíveis na fundamentação?]" id="12"/>
    <tableColumn name="Checklist - VER-001-R1-002 [(JUI-03) O depoimento do Arquiteto (ARG-) foi considerado na decisão?]" id="13"/>
    <tableColumn name="Checklist - VER-001-R1-002 [(JUI-04) O depoimento do Developer (DEP-) foi considerado na decisão?]" id="14"/>
    <tableColumn name="Checklist - VER-001-R1-003 [(JUI-01) Decisão do Juiz foi correta?]" id="15"/>
    <tableColumn name="Checklist - VER-001-R1-003 [(JUI-02) O Juiz utilizou corretamente as evidências disponíveis na fundamentação?]" id="16"/>
    <tableColumn name="Checklist - VER-001-R1-003 [(JUI-03) O depoimento do Arquiteto (ARG-) foi considerado na decisão?]" id="17"/>
    <tableColumn name="Checklist - VER-001-R1-003 [(JUI-04) O depoimento do Developer (DEP-) foi considerado na decisão?]" id="18"/>
    <tableColumn name="Checklist - VER-001-R1-004 [(JUI-01) Decisão do Juiz foi correta?]" id="19"/>
    <tableColumn name="Checklist - VER-001-R1-004 [(JUI-02) O Juiz utilizou corretamente as evidências disponíveis na fundamentação?]" id="20"/>
    <tableColumn name="Checklist - VER-001-R1-004 [(JUI-03) O depoimento do Arquiteto (ARG-) foi considerado na decisão?]" id="21"/>
    <tableColumn name="Checklist - VER-001-R1-004 [(JUI-04) O depoimento do Developer (DEP-) foi considerado na decisão?]" id="22"/>
    <tableColumn name="Checklist - VER-001-R1-005 [(JUI-01) Decisão do Juiz foi correta?]" id="23"/>
    <tableColumn name="Checklist - VER-001-R1-005 [(JUI-02) O Juiz utilizou corretamente as evidências disponíveis na fundamentação?]" id="24"/>
    <tableColumn name="Checklist - VER-001-R1-005 [(JUI-03) O depoimento do Arquiteto (ARG-) foi considerado na decisão?]" id="25"/>
    <tableColumn name="Checklist - VER-001-R1-005 [(JUI-04) O depoimento do Developer (DEP-) foi considerado na decisão?]" id="26"/>
    <tableColumn name="Checklist - VER-001-R1-006 [(JUI-01) Decisão do Juiz foi correta?]" id="27"/>
    <tableColumn name="Checklist - VER-001-R1-006 [(JUI-02) O Juiz utilizou corretamente as evidências disponíveis na fundamentação?]" id="28"/>
    <tableColumn name="Checklist - VER-001-R1-006 [(JUI-03) O depoimento do Arquiteto (ARG-) foi considerado na decisão?]" id="29"/>
    <tableColumn name="Checklist - VER-001-R1-006 [(JUI-04) O depoimento do Developer (DEP-) foi considerado na decisão?]" id="30"/>
    <tableColumn name="Checklist - VER-001-R2-001 [(JUI-01) Decisão do Juiz foi correta?]" id="31"/>
    <tableColumn name="Checklist - VER-001-R2-001 [(JUI-02) O Juiz utilizou corretamente as evidências disponíveis na fundamentação?]" id="32"/>
    <tableColumn name="Checklist - VER-001-R2-001 [(JUI-03) O depoimento do Arquiteto (ARG-) foi considerado na decisão?]" id="33"/>
    <tableColumn name="Checklist - VER-001-R2-001 [(JUI-04) O depoimento do Developer (DEP-) foi considerado na decisão?]" id="34"/>
    <tableColumn name="Checklist - VER-001-R2-002 [(JUI-01) Decisão do Juiz foi correta?]" id="35"/>
    <tableColumn name="Checklist - VER-001-R2-002 [(JUI-02) O Juiz utilizou corretamente as evidências disponíveis na fundamentação?]" id="36"/>
    <tableColumn name="Checklist - VER-001-R2-002 [(JUI-03) O depoimento do Arquiteto (ARG-) foi considerado na decisão?]" id="37"/>
    <tableColumn name="Checklist - VER-001-R2-002 [(JUI-04) O depoimento do Developer (DEP-) foi considerado na decisão?]" id="38"/>
    <tableColumn name="Checklist - VER-001-R2-003 [(JUI-01) Decisão do Juiz foi correta?]" id="39"/>
    <tableColumn name="Checklist - VER-001-R2-003 [(JUI-02) O Juiz utilizou corretamente as evidências disponíveis na fundamentação?]" id="40"/>
    <tableColumn name="Checklist - VER-001-R2-003 [(JUI-03) O depoimento do Arquiteto (ARG-) foi considerado na decisão?]" id="41"/>
    <tableColumn name="Checklist - VER-001-R2-003 [(JUI-04) O depoimento do Developer (DEP-) foi considerado na decisão?]" id="42"/>
    <tableColumn name="Checklist - VER-001-R2-004 [(JUI-01) Decisão do Juiz foi correta?]" id="43"/>
    <tableColumn name="Checklist - VER-001-R2-004 [(JUI-02) O Juiz utilizou corretamente as evidências disponíveis na fundamentação?]" id="44"/>
    <tableColumn name="Checklist - VER-001-R2-004 [(JUI-03) O depoimento do Arquiteto (ARG-) foi considerado na decisão?]" id="45"/>
    <tableColumn name="Checklist - VER-001-R2-004 [(JUI-04) O depoimento do Developer (DEP-) foi considerado na decisão?]" id="46"/>
    <tableColumn name="Checklist - VER-001-R2-005 [(JUI-01) Decisão do Juiz foi correta?]" id="47"/>
    <tableColumn name="Checklist - VER-001-R2-005 [(JUI-02) O Juiz utilizou corretamente as evidências disponíveis na fundamentação?]" id="48"/>
    <tableColumn name="Checklist - VER-001-R2-005 [(JUI-03) O depoimento do Arquiteto (ARG-) foi considerado na decisão?]" id="49"/>
    <tableColumn name="Checklist - VER-001-R2-005 [(JUI-04) O depoimento do Developer (DEP-) foi considerado na decisão?]" id="50"/>
    <tableColumn name="Checklist - VER-001-R2-006 [(JUI-01) Decisão do Juiz foi correta?]" id="51"/>
    <tableColumn name="Checklist - VER-001-R2-006 [(JUI-02) O Juiz utilizou corretamente as evidências disponíveis na fundamentação?]" id="52"/>
    <tableColumn name="Checklist - VER-001-R2-006 [(JUI-03) O depoimento do Arquiteto (ARG-) foi considerado na decisão?]" id="53"/>
    <tableColumn name="Checklist - VER-001-R2-006 [(JUI-04) O depoimento do Developer (DEP-) foi considerado na decisão?]" id="54"/>
    <tableColumn name="Checklist - VER-002-R1-001 [(JUI-01) Decisão do Juiz foi correta?]" id="55"/>
    <tableColumn name="Checklist - VER-002-R1-001 [(JUI-02) O Juiz utilizou corretamente as evidências disponíveis na fundamentação?]" id="56"/>
    <tableColumn name="Checklist - VER-002-R1-001 [(JUI-03) O depoimento do Arquiteto (ARG-) foi considerado na decisão?]" id="57"/>
    <tableColumn name="Checklist - VER-002-R1-001 [(JUI-04) O depoimento do Developer (DEP-) foi considerado na decisão?]" id="58"/>
    <tableColumn name="Checklist - VER-002-R1-002 [(JUI-01) Decisão do Juiz foi correta?]" id="59"/>
    <tableColumn name="Checklist - VER-002-R1-002 [(JUI-02) O Juiz utilizou corretamente as evidências disponíveis na fundamentação?]" id="60"/>
    <tableColumn name="Checklist - VER-002-R1-002 [(JUI-03) O depoimento do Arquiteto (ARG-) foi considerado na decisão?]" id="61"/>
    <tableColumn name="Checklist - VER-002-R1-002 [(JUI-04) O depoimento do Developer (DEP-) foi considerado na decisão?]" id="62"/>
    <tableColumn name="Checklist - VER-002-R2-001 [(JUI-01) Decisão do Juiz foi correta?]" id="63"/>
    <tableColumn name="Checklist - VER-002-R2-001 [(JUI-02) O Juiz utilizou corretamente as evidências disponíveis na fundamentação?]" id="64"/>
    <tableColumn name="Checklist - VER-002-R2-001 [(JUI-03) O depoimento do Arquiteto (ARG-) foi considerado na decisão?]" id="65"/>
    <tableColumn name="Checklist - VER-002-R2-001 [(JUI-04) O depoimento do Developer (DEP-) foi considerado na decisão?]" id="66"/>
    <tableColumn name="Checklist - VER-002-R2-002 [(JUI-01) Decisão do Juiz foi correta?]" id="67"/>
    <tableColumn name="Checklist - VER-002-R2-002 [(JUI-02) O Juiz utilizou corretamente as evidências disponíveis na fundamentação?]" id="68"/>
    <tableColumn name="Checklist - VER-002-R2-002 [(JUI-03) O depoimento do Arquiteto (ARG-) foi considerado na decisão?]" id="69"/>
    <tableColumn name="Checklist - VER-002-R2-002 [(JUI-04) O depoimento do Developer (DEP-) foi considerado na decisão?]" id="70"/>
    <tableColumn name="Checklist - VER-S3T004T005-R1-001 [(JUI-01) Decisão do Juiz foi correta?]" id="71"/>
    <tableColumn name="Checklist - VER-S3T004T005-R1-001 [(JUI-02) O Juiz utilizou corretamente as evidências disponíveis na fundamentação?]" id="72"/>
    <tableColumn name="Checklist - VER-S3T004T005-R1-001 [(JUI-03) O depoimento do Arquiteto (ARG-) foi considerado na decisão?]" id="73"/>
    <tableColumn name="Checklist - VER-S3T004T005-R1-001 [(JUI-04) O depoimento do Developer (DEP-) foi considerado na decisão?]" id="74"/>
    <tableColumn name="Checklist - VER-S3T004T005-R1-002 [(JUI-01) Decisão do Juiz foi correta?]" id="75"/>
    <tableColumn name="Checklist - VER-S3T004T005-R1-002 [(JUI-02) O Juiz utilizou corretamente as evidências disponíveis na fundamentação?]" id="76"/>
    <tableColumn name="Checklist - VER-S3T004T005-R1-002 [(JUI-03) O depoimento do Arquiteto (ARG-) foi considerado na decisão?]" id="77"/>
    <tableColumn name="Checklist - VER-S3T004T005-R1-002 [(JUI-04) O depoimento do Developer (DEP-) foi considerado na decisão?]" id="78"/>
    <tableColumn name="Checklist - VER-S3T004T005-R1-003 [(JUI-01) Decisão do Juiz foi correta?]" id="79"/>
    <tableColumn name="Checklist - VER-S3T004T005-R1-003 [(JUI-02) O Juiz utilizou corretamente as evidências disponíveis na fundamentação?]" id="80"/>
    <tableColumn name="Checklist - VER-S3T004T005-R1-003 [(JUI-03) O depoimento do Arquiteto (ARG-) foi considerado na decisão?]" id="81"/>
    <tableColumn name="Checklist - VER-S3T004T005-R1-003 [(JUI-04) O depoimento do Developer (DEP-) foi considerado na decisão?]" id="82"/>
    <tableColumn name="Checklist - VER-S3T004T005-R1-004 [(JUI-01) Decisão do Juiz foi correta?]" id="83"/>
    <tableColumn name="Checklist - VER-S3T004T005-R1-004 [(JUI-02) O Juiz utilizou corretamente as evidências disponíveis na fundamentação?]" id="84"/>
    <tableColumn name="Checklist - VER-S3T004T005-R1-004 [(JUI-03) O depoimento do Arquiteto (ARG-) foi considerado na decisão?]" id="85"/>
    <tableColumn name="Checklist - VER-S3T004T005-R1-004 [(JUI-04) O depoimento do Developer (DEP-) foi considerado na decisão?]" id="86"/>
    <tableColumn name="Checklist - VER-S3T004T005-R1-005 [(JUI-01) Decisão do Juiz foi correta?]" id="87"/>
    <tableColumn name="Checklist - VER-S3T004T005-R1-005 [(JUI-02) O Juiz utilizou corretamente as evidências disponíveis na fundamentação?]" id="88"/>
    <tableColumn name="Checklist - VER-S3T004T005-R1-005 [(JUI-03) O depoimento do Arquiteto (ARG-) foi considerado na decisão?]" id="89"/>
    <tableColumn name="Checklist - VER-S3T004T005-R1-005 [(JUI-04) O depoimento do Developer (DEP-) foi considerado na decisão?]" id="90"/>
    <tableColumn name="Checklist - VER-S3T006-R1-001 [(JUI-01) Decisão do Juiz foi correta?]" id="91"/>
    <tableColumn name="Checklist - VER-S3T006-R1-001 [(JUI-02) O Juiz utilizou corretamente as evidências disponíveis na fundamentação?]" id="92"/>
    <tableColumn name="Checklist - VER-S3T006-R1-001 [(JUI-03) O depoimento do Arquiteto (ARG-) foi considerado na decisão?]" id="93"/>
    <tableColumn name="Checklist - VER-S3T006-R1-001 [(JUI-04) O depoimento do Developer (DEP-) foi considerado na decisão?]" id="94"/>
    <tableColumn name="Checklist - VER-S3T006-R1-002 [(JUI-01) Decisão do Juiz foi correta?]" id="95"/>
    <tableColumn name="Checklist - VER-S3T006-R1-002 [(JUI-02) O Juiz utilizou corretamente as evidências disponíveis na fundamentação?]" id="96"/>
    <tableColumn name="Checklist - VER-S3T006-R1-002 [(JUI-03) O depoimento do Arquiteto (ARG-) foi considerado na decisão?]" id="97"/>
    <tableColumn name="Checklist - VER-S3T006-R1-002 [(JUI-04) O depoimento do Developer (DEP-) foi considerado na decisão?]" id="98"/>
    <tableColumn name="Checklist - VER-S3T006-R1-003 [(JUI-01) Decisão do Juiz foi correta?]" id="99"/>
    <tableColumn name="Checklist - VER-S3T006-R1-003 [(JUI-02) O Juiz utilizou corretamente as evidências disponíveis na fundamentação?]" id="100"/>
    <tableColumn name="Checklist - VER-S3T006-R1-003 [(JUI-03) O depoimento do Arquiteto (ARG-) foi considerado na decisão?]" id="101"/>
    <tableColumn name="Checklist - VER-S3T006-R1-003 [(JUI-04) O depoimento do Developer (DEP-) foi considerado na decisão?]" id="102"/>
    <tableColumn name="Checklist - VER-S3T006-R1-004 [(JUI-01) Decisão do Juiz foi correta?]" id="103"/>
    <tableColumn name="Checklist - VER-S3T006-R1-004 [(JUI-02) O Juiz utilizou corretamente as evidências disponíveis na fundamentação?]" id="104"/>
    <tableColumn name="Checklist - VER-S3T006-R1-004 [(JUI-03) O depoimento do Arquiteto (ARG-) foi considerado na decisão?]" id="105"/>
    <tableColumn name="Checklist - VER-S3T006-R1-004 [(JUI-04) O depoimento do Developer (DEP-) foi considerado na decisão?]" id="106"/>
    <tableColumn name="Checklist - VER-S3T006-R1-005 [(JUI-01) Decisão do Juiz foi correta?]" id="107"/>
    <tableColumn name="Checklist - VER-S3T006-R1-005 [(JUI-02) O Juiz utilizou corretamente as evidências disponíveis na fundamentação?]" id="108"/>
    <tableColumn name="Checklist - VER-S3T006-R1-005 [(JUI-03) O depoimento do Arquiteto (ARG-) foi considerado na decisão?]" id="109"/>
    <tableColumn name="Checklist - VER-S3T006-R1-005 [(JUI-04) O depoimento do Developer (DEP-) foi considerado na decisão?]" id="110"/>
    <tableColumn name="Checklist - VER-S3T007-R1-001 [(JUI-01) Decisão do Juiz foi correta?]" id="111"/>
    <tableColumn name="Checklist - VER-S3T007-R1-001 [(JUI-02) O Juiz utilizou corretamente as evidências disponíveis na fundamentação?]" id="112"/>
    <tableColumn name="Checklist - VER-S3T007-R1-001 [(JUI-03) O depoimento do Arquiteto (ARG-) foi considerado na decisão?]" id="113"/>
    <tableColumn name="Checklist - VER-S3T007-R1-001 [(JUI-04) O depoimento do Developer (DEP-) foi considerado na decisão?]" id="114"/>
    <tableColumn name="Checklist - VER-S3T007-R1-002 [(JUI-01) Decisão do Juiz foi correta?]" id="115"/>
    <tableColumn name="Checklist - VER-S3T007-R1-002 [(JUI-02) O Juiz utilizou corretamente as evidências disponíveis na fundamentação?]" id="116"/>
    <tableColumn name="Checklist - VER-S3T007-R1-002 [(JUI-03) O depoimento do Arquiteto (ARG-) foi considerado na decisão?]" id="117"/>
    <tableColumn name="Checklist - VER-S3T007-R1-002 [(JUI-04) O depoimento do Developer (DEP-) foi considerado na decisão?]" id="118"/>
    <tableColumn name="Checklist - VER-S3T007-R1-003 [(JUI-01) Decisão do Juiz foi correta?]" id="119"/>
    <tableColumn name="Checklist - VER-S3T007-R1-003 [(JUI-02) O Juiz utilizou corretamente as evidências disponíveis na fundamentação?]" id="120"/>
    <tableColumn name="Checklist - VER-S3T007-R1-003 [(JUI-03) O depoimento do Arquiteto (ARG-) foi considerado na decisão?]" id="121"/>
    <tableColumn name="Checklist - VER-S3T007-R1-003 [(JUI-04) O depoimento do Developer (DEP-) foi considerado na decisão?]" id="122"/>
    <tableColumn name="Checklist - VER-S3T007-R1-004 [(JUI-01) Decisão do Juiz foi correta?]" id="123"/>
    <tableColumn name="Checklist - VER-S3T007-R1-004 [(JUI-02) O Juiz utilizou corretamente as evidências disponíveis na fundamentação?]" id="124"/>
    <tableColumn name="Checklist - VER-S3T007-R1-004 [(JUI-03) O depoimento do Arquiteto (ARG-) foi considerado na decisão?]" id="125"/>
    <tableColumn name="Checklist - VER-S3T007-R1-004 [(JUI-04) O depoimento do Developer (DEP-) foi considerado na decisão?]" id="126"/>
    <tableColumn name="Checklist - VER-S3T007-R1-005 [(JUI-01) Decisão do Juiz foi correta?]" id="127"/>
    <tableColumn name="Checklist - VER-S3T007-R1-005 [(JUI-02) O Juiz utilizou corretamente as evidências disponíveis na fundamentação?]" id="128"/>
    <tableColumn name="Checklist - VER-S3T007-R1-005 [(JUI-03) O depoimento do Arquiteto (ARG-) foi considerado na decisão?]" id="129"/>
    <tableColumn name="Checklist - VER-S3T007-R1-005 [(JUI-04) O depoimento do Developer (DEP-) foi considerado na decisão?]" id="130"/>
    <tableColumn name="Observações, justificativas ou comentários adicionais sobre os Vereditos" id="13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9.25"/>
    <col customWidth="1" min="3" max="3" width="19.13"/>
    <col customWidth="1" min="4" max="4" width="21.13"/>
    <col customWidth="1" min="5" max="6" width="18.88"/>
    <col customWidth="1" min="7" max="7" width="37.63"/>
    <col customWidth="1" min="8" max="8" width="80.88"/>
    <col customWidth="1" min="9" max="9" width="37.63"/>
    <col customWidth="1" min="10" max="10" width="62.0"/>
    <col customWidth="1" min="11" max="26" width="37.63"/>
    <col customWidth="1" min="27" max="27" width="57.25"/>
    <col customWidth="1" min="28" max="28" width="48.63"/>
    <col customWidth="1" min="29" max="131" width="37.63"/>
    <col customWidth="1" min="132" max="1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ht="22.5" customHeight="1">
      <c r="A2" s="2">
        <v>46199.488750069446</v>
      </c>
      <c r="B2" s="3" t="s">
        <v>131</v>
      </c>
      <c r="C2" s="3" t="s">
        <v>132</v>
      </c>
      <c r="D2" s="3" t="s">
        <v>133</v>
      </c>
      <c r="E2" s="3" t="s">
        <v>134</v>
      </c>
      <c r="F2" s="3" t="s">
        <v>135</v>
      </c>
      <c r="G2" s="3" t="s">
        <v>136</v>
      </c>
      <c r="H2" s="3" t="s">
        <v>136</v>
      </c>
      <c r="I2" s="3" t="s">
        <v>136</v>
      </c>
      <c r="J2" s="3" t="s">
        <v>136</v>
      </c>
      <c r="K2" s="3" t="s">
        <v>136</v>
      </c>
      <c r="L2" s="3" t="s">
        <v>136</v>
      </c>
      <c r="M2" s="3" t="s">
        <v>136</v>
      </c>
      <c r="N2" s="3" t="s">
        <v>136</v>
      </c>
      <c r="O2" s="3" t="s">
        <v>136</v>
      </c>
      <c r="P2" s="3" t="s">
        <v>136</v>
      </c>
      <c r="Q2" s="3" t="s">
        <v>136</v>
      </c>
      <c r="R2" s="3" t="s">
        <v>136</v>
      </c>
      <c r="S2" s="3" t="s">
        <v>136</v>
      </c>
      <c r="T2" s="3" t="s">
        <v>136</v>
      </c>
      <c r="U2" s="3" t="s">
        <v>136</v>
      </c>
      <c r="V2" s="3" t="s">
        <v>136</v>
      </c>
      <c r="W2" s="3" t="s">
        <v>136</v>
      </c>
      <c r="X2" s="3" t="s">
        <v>136</v>
      </c>
      <c r="Y2" s="3" t="s">
        <v>136</v>
      </c>
      <c r="Z2" s="3" t="s">
        <v>136</v>
      </c>
      <c r="AA2" s="3" t="s">
        <v>137</v>
      </c>
      <c r="AB2" s="3" t="s">
        <v>137</v>
      </c>
      <c r="AC2" s="3" t="s">
        <v>136</v>
      </c>
      <c r="AD2" s="3" t="s">
        <v>136</v>
      </c>
      <c r="AE2" s="4" t="s">
        <v>136</v>
      </c>
      <c r="AF2" s="4" t="s">
        <v>136</v>
      </c>
      <c r="AG2" s="4" t="s">
        <v>136</v>
      </c>
      <c r="AH2" s="4" t="s">
        <v>136</v>
      </c>
      <c r="AI2" s="4" t="s">
        <v>136</v>
      </c>
      <c r="AJ2" s="4" t="s">
        <v>136</v>
      </c>
      <c r="AK2" s="4" t="s">
        <v>136</v>
      </c>
      <c r="AL2" s="4" t="s">
        <v>136</v>
      </c>
      <c r="AM2" s="4" t="s">
        <v>136</v>
      </c>
      <c r="AN2" s="4" t="s">
        <v>136</v>
      </c>
      <c r="AO2" s="4" t="s">
        <v>136</v>
      </c>
      <c r="AP2" s="4" t="s">
        <v>136</v>
      </c>
      <c r="AQ2" s="4" t="s">
        <v>136</v>
      </c>
      <c r="AR2" s="4" t="s">
        <v>136</v>
      </c>
      <c r="AS2" s="4" t="s">
        <v>136</v>
      </c>
      <c r="AT2" s="4" t="s">
        <v>136</v>
      </c>
      <c r="AU2" s="4" t="s">
        <v>136</v>
      </c>
      <c r="AV2" s="4" t="s">
        <v>136</v>
      </c>
      <c r="AW2" s="4" t="s">
        <v>136</v>
      </c>
      <c r="AX2" s="4" t="s">
        <v>136</v>
      </c>
      <c r="AY2" s="4" t="s">
        <v>136</v>
      </c>
      <c r="AZ2" s="4" t="s">
        <v>137</v>
      </c>
      <c r="BA2" s="4" t="s">
        <v>136</v>
      </c>
      <c r="BB2" s="4" t="s">
        <v>136</v>
      </c>
      <c r="BC2" s="3" t="s">
        <v>136</v>
      </c>
      <c r="BD2" s="3" t="s">
        <v>136</v>
      </c>
      <c r="BE2" s="3" t="s">
        <v>136</v>
      </c>
      <c r="BF2" s="3" t="s">
        <v>136</v>
      </c>
      <c r="BG2" s="3" t="s">
        <v>136</v>
      </c>
      <c r="BH2" s="3" t="s">
        <v>136</v>
      </c>
      <c r="BI2" s="3" t="s">
        <v>136</v>
      </c>
      <c r="BJ2" s="3" t="s">
        <v>136</v>
      </c>
      <c r="BK2" s="4" t="s">
        <v>136</v>
      </c>
      <c r="BL2" s="4" t="s">
        <v>137</v>
      </c>
      <c r="BM2" s="4" t="s">
        <v>136</v>
      </c>
      <c r="BN2" s="4" t="s">
        <v>136</v>
      </c>
      <c r="BO2" s="4" t="s">
        <v>136</v>
      </c>
      <c r="BP2" s="4" t="s">
        <v>136</v>
      </c>
      <c r="BQ2" s="4" t="s">
        <v>136</v>
      </c>
      <c r="BR2" s="4" t="s">
        <v>136</v>
      </c>
      <c r="BS2" s="3" t="s">
        <v>136</v>
      </c>
      <c r="BT2" s="3" t="s">
        <v>136</v>
      </c>
      <c r="BU2" s="3" t="s">
        <v>136</v>
      </c>
      <c r="BV2" s="3" t="s">
        <v>136</v>
      </c>
      <c r="BW2" s="3" t="s">
        <v>136</v>
      </c>
      <c r="BX2" s="3" t="s">
        <v>136</v>
      </c>
      <c r="BY2" s="3" t="s">
        <v>136</v>
      </c>
      <c r="BZ2" s="3" t="s">
        <v>136</v>
      </c>
      <c r="CA2" s="3" t="s">
        <v>136</v>
      </c>
      <c r="CB2" s="3" t="s">
        <v>136</v>
      </c>
      <c r="CC2" s="3" t="s">
        <v>136</v>
      </c>
      <c r="CD2" s="3" t="s">
        <v>136</v>
      </c>
      <c r="CE2" s="3" t="s">
        <v>136</v>
      </c>
      <c r="CF2" s="3" t="s">
        <v>136</v>
      </c>
      <c r="CG2" s="3" t="s">
        <v>136</v>
      </c>
      <c r="CH2" s="3" t="s">
        <v>136</v>
      </c>
      <c r="CI2" s="3" t="s">
        <v>136</v>
      </c>
      <c r="CJ2" s="3" t="s">
        <v>136</v>
      </c>
      <c r="CK2" s="3" t="s">
        <v>136</v>
      </c>
      <c r="CL2" s="3" t="s">
        <v>136</v>
      </c>
      <c r="CM2" s="3" t="s">
        <v>136</v>
      </c>
      <c r="CN2" s="3" t="s">
        <v>136</v>
      </c>
      <c r="CO2" s="3" t="s">
        <v>136</v>
      </c>
      <c r="CP2" s="3" t="s">
        <v>136</v>
      </c>
      <c r="CQ2" s="3" t="s">
        <v>136</v>
      </c>
      <c r="CR2" s="3" t="s">
        <v>136</v>
      </c>
      <c r="CS2" s="3" t="s">
        <v>136</v>
      </c>
      <c r="CT2" s="3" t="s">
        <v>136</v>
      </c>
      <c r="CU2" s="3" t="s">
        <v>136</v>
      </c>
      <c r="CV2" s="3" t="s">
        <v>136</v>
      </c>
      <c r="CW2" s="3" t="s">
        <v>136</v>
      </c>
      <c r="CX2" s="3" t="s">
        <v>136</v>
      </c>
      <c r="CY2" s="3" t="s">
        <v>136</v>
      </c>
      <c r="CZ2" s="3" t="s">
        <v>136</v>
      </c>
      <c r="DA2" s="3" t="s">
        <v>136</v>
      </c>
      <c r="DB2" s="3" t="s">
        <v>136</v>
      </c>
      <c r="DC2" s="3" t="s">
        <v>136</v>
      </c>
      <c r="DD2" s="3" t="s">
        <v>136</v>
      </c>
      <c r="DE2" s="3" t="s">
        <v>136</v>
      </c>
      <c r="DF2" s="3" t="s">
        <v>136</v>
      </c>
      <c r="DG2" s="3" t="s">
        <v>136</v>
      </c>
      <c r="DH2" s="3" t="s">
        <v>136</v>
      </c>
      <c r="DI2" s="3" t="s">
        <v>136</v>
      </c>
      <c r="DJ2" s="3" t="s">
        <v>136</v>
      </c>
      <c r="DK2" s="3" t="s">
        <v>136</v>
      </c>
      <c r="DL2" s="3" t="s">
        <v>136</v>
      </c>
      <c r="DM2" s="3" t="s">
        <v>136</v>
      </c>
      <c r="DN2" s="3" t="s">
        <v>136</v>
      </c>
      <c r="DO2" s="3" t="s">
        <v>136</v>
      </c>
      <c r="DP2" s="3" t="s">
        <v>136</v>
      </c>
      <c r="DQ2" s="3" t="s">
        <v>136</v>
      </c>
      <c r="DR2" s="3" t="s">
        <v>136</v>
      </c>
      <c r="DS2" s="3" t="s">
        <v>136</v>
      </c>
      <c r="DT2" s="3" t="s">
        <v>136</v>
      </c>
      <c r="DU2" s="3" t="s">
        <v>136</v>
      </c>
      <c r="DV2" s="3" t="s">
        <v>136</v>
      </c>
      <c r="DW2" s="3" t="s">
        <v>136</v>
      </c>
      <c r="DX2" s="3" t="s">
        <v>136</v>
      </c>
      <c r="DY2" s="3" t="s">
        <v>136</v>
      </c>
      <c r="DZ2" s="3" t="s">
        <v>136</v>
      </c>
      <c r="EA2" s="5"/>
    </row>
    <row r="3" ht="22.5" customHeight="1">
      <c r="A3" s="6">
        <v>46199.669681203704</v>
      </c>
      <c r="B3" s="7" t="s">
        <v>138</v>
      </c>
      <c r="C3" s="7" t="s">
        <v>139</v>
      </c>
      <c r="D3" s="7" t="s">
        <v>133</v>
      </c>
      <c r="E3" s="7" t="s">
        <v>134</v>
      </c>
      <c r="F3" s="7" t="s">
        <v>140</v>
      </c>
      <c r="G3" s="7" t="s">
        <v>136</v>
      </c>
      <c r="H3" s="7" t="s">
        <v>136</v>
      </c>
      <c r="I3" s="7" t="s">
        <v>136</v>
      </c>
      <c r="J3" s="7" t="s">
        <v>136</v>
      </c>
      <c r="K3" s="7" t="s">
        <v>136</v>
      </c>
      <c r="L3" s="7" t="s">
        <v>136</v>
      </c>
      <c r="M3" s="7" t="s">
        <v>136</v>
      </c>
      <c r="N3" s="7" t="s">
        <v>136</v>
      </c>
      <c r="O3" s="7" t="s">
        <v>136</v>
      </c>
      <c r="P3" s="7" t="s">
        <v>136</v>
      </c>
      <c r="Q3" s="7" t="s">
        <v>136</v>
      </c>
      <c r="R3" s="7" t="s">
        <v>136</v>
      </c>
      <c r="S3" s="7" t="s">
        <v>136</v>
      </c>
      <c r="T3" s="7" t="s">
        <v>136</v>
      </c>
      <c r="U3" s="7" t="s">
        <v>136</v>
      </c>
      <c r="V3" s="7" t="s">
        <v>136</v>
      </c>
      <c r="W3" s="7" t="s">
        <v>136</v>
      </c>
      <c r="X3" s="7" t="s">
        <v>136</v>
      </c>
      <c r="Y3" s="7" t="s">
        <v>136</v>
      </c>
      <c r="Z3" s="7" t="s">
        <v>136</v>
      </c>
      <c r="AA3" s="7" t="s">
        <v>136</v>
      </c>
      <c r="AB3" s="7" t="s">
        <v>136</v>
      </c>
      <c r="AC3" s="7" t="s">
        <v>136</v>
      </c>
      <c r="AD3" s="7" t="s">
        <v>136</v>
      </c>
      <c r="AE3" s="4" t="s">
        <v>136</v>
      </c>
      <c r="AF3" s="4" t="s">
        <v>136</v>
      </c>
      <c r="AG3" s="4" t="s">
        <v>136</v>
      </c>
      <c r="AH3" s="4" t="s">
        <v>136</v>
      </c>
      <c r="AI3" s="4" t="s">
        <v>136</v>
      </c>
      <c r="AJ3" s="4" t="s">
        <v>136</v>
      </c>
      <c r="AK3" s="4" t="s">
        <v>136</v>
      </c>
      <c r="AL3" s="4" t="s">
        <v>136</v>
      </c>
      <c r="AM3" s="4" t="s">
        <v>136</v>
      </c>
      <c r="AN3" s="4" t="s">
        <v>136</v>
      </c>
      <c r="AO3" s="4" t="s">
        <v>136</v>
      </c>
      <c r="AP3" s="4" t="s">
        <v>136</v>
      </c>
      <c r="AQ3" s="4" t="s">
        <v>136</v>
      </c>
      <c r="AR3" s="4" t="s">
        <v>136</v>
      </c>
      <c r="AS3" s="4" t="s">
        <v>136</v>
      </c>
      <c r="AT3" s="4" t="s">
        <v>136</v>
      </c>
      <c r="AU3" s="4" t="s">
        <v>136</v>
      </c>
      <c r="AV3" s="4" t="s">
        <v>136</v>
      </c>
      <c r="AW3" s="4" t="s">
        <v>136</v>
      </c>
      <c r="AX3" s="4" t="s">
        <v>136</v>
      </c>
      <c r="AY3" s="4" t="s">
        <v>136</v>
      </c>
      <c r="AZ3" s="4" t="s">
        <v>136</v>
      </c>
      <c r="BA3" s="4" t="s">
        <v>136</v>
      </c>
      <c r="BB3" s="4" t="s">
        <v>136</v>
      </c>
      <c r="BC3" s="7" t="s">
        <v>136</v>
      </c>
      <c r="BD3" s="7" t="s">
        <v>136</v>
      </c>
      <c r="BE3" s="7" t="s">
        <v>136</v>
      </c>
      <c r="BF3" s="7" t="s">
        <v>136</v>
      </c>
      <c r="BG3" s="7" t="s">
        <v>136</v>
      </c>
      <c r="BH3" s="7" t="s">
        <v>136</v>
      </c>
      <c r="BI3" s="7" t="s">
        <v>136</v>
      </c>
      <c r="BJ3" s="7" t="s">
        <v>136</v>
      </c>
      <c r="BK3" s="4" t="s">
        <v>136</v>
      </c>
      <c r="BL3" s="4" t="s">
        <v>136</v>
      </c>
      <c r="BM3" s="4" t="s">
        <v>136</v>
      </c>
      <c r="BN3" s="4" t="s">
        <v>136</v>
      </c>
      <c r="BO3" s="4" t="s">
        <v>136</v>
      </c>
      <c r="BP3" s="4" t="s">
        <v>136</v>
      </c>
      <c r="BQ3" s="4" t="s">
        <v>136</v>
      </c>
      <c r="BR3" s="4" t="s">
        <v>136</v>
      </c>
      <c r="BS3" s="7" t="s">
        <v>136</v>
      </c>
      <c r="BT3" s="7" t="s">
        <v>136</v>
      </c>
      <c r="BU3" s="7" t="s">
        <v>136</v>
      </c>
      <c r="BV3" s="7" t="s">
        <v>136</v>
      </c>
      <c r="BW3" s="7" t="s">
        <v>136</v>
      </c>
      <c r="BX3" s="7" t="s">
        <v>136</v>
      </c>
      <c r="BY3" s="7" t="s">
        <v>136</v>
      </c>
      <c r="BZ3" s="7" t="s">
        <v>136</v>
      </c>
      <c r="CA3" s="7" t="s">
        <v>136</v>
      </c>
      <c r="CB3" s="7" t="s">
        <v>136</v>
      </c>
      <c r="CC3" s="7" t="s">
        <v>136</v>
      </c>
      <c r="CD3" s="7" t="s">
        <v>136</v>
      </c>
      <c r="CE3" s="7" t="s">
        <v>136</v>
      </c>
      <c r="CF3" s="7" t="s">
        <v>136</v>
      </c>
      <c r="CG3" s="7" t="s">
        <v>136</v>
      </c>
      <c r="CH3" s="7" t="s">
        <v>136</v>
      </c>
      <c r="CI3" s="7" t="s">
        <v>136</v>
      </c>
      <c r="CJ3" s="7" t="s">
        <v>136</v>
      </c>
      <c r="CK3" s="7" t="s">
        <v>136</v>
      </c>
      <c r="CL3" s="7" t="s">
        <v>136</v>
      </c>
      <c r="CM3" s="7" t="s">
        <v>136</v>
      </c>
      <c r="CN3" s="7" t="s">
        <v>136</v>
      </c>
      <c r="CO3" s="7" t="s">
        <v>136</v>
      </c>
      <c r="CP3" s="7" t="s">
        <v>136</v>
      </c>
      <c r="CQ3" s="7" t="s">
        <v>136</v>
      </c>
      <c r="CR3" s="7" t="s">
        <v>136</v>
      </c>
      <c r="CS3" s="7" t="s">
        <v>136</v>
      </c>
      <c r="CT3" s="7" t="s">
        <v>136</v>
      </c>
      <c r="CU3" s="7" t="s">
        <v>136</v>
      </c>
      <c r="CV3" s="7" t="s">
        <v>136</v>
      </c>
      <c r="CW3" s="7" t="s">
        <v>136</v>
      </c>
      <c r="CX3" s="7" t="s">
        <v>136</v>
      </c>
      <c r="CY3" s="7" t="s">
        <v>136</v>
      </c>
      <c r="CZ3" s="7" t="s">
        <v>136</v>
      </c>
      <c r="DA3" s="7" t="s">
        <v>136</v>
      </c>
      <c r="DB3" s="7" t="s">
        <v>136</v>
      </c>
      <c r="DC3" s="7" t="s">
        <v>136</v>
      </c>
      <c r="DD3" s="7" t="s">
        <v>136</v>
      </c>
      <c r="DE3" s="7" t="s">
        <v>136</v>
      </c>
      <c r="DF3" s="7" t="s">
        <v>136</v>
      </c>
      <c r="DG3" s="7" t="s">
        <v>136</v>
      </c>
      <c r="DH3" s="7" t="s">
        <v>136</v>
      </c>
      <c r="DI3" s="7" t="s">
        <v>136</v>
      </c>
      <c r="DJ3" s="7" t="s">
        <v>136</v>
      </c>
      <c r="DK3" s="7" t="s">
        <v>136</v>
      </c>
      <c r="DL3" s="7" t="s">
        <v>136</v>
      </c>
      <c r="DM3" s="7" t="s">
        <v>136</v>
      </c>
      <c r="DN3" s="7" t="s">
        <v>136</v>
      </c>
      <c r="DO3" s="7" t="s">
        <v>136</v>
      </c>
      <c r="DP3" s="7" t="s">
        <v>136</v>
      </c>
      <c r="DQ3" s="7" t="s">
        <v>136</v>
      </c>
      <c r="DR3" s="7" t="s">
        <v>136</v>
      </c>
      <c r="DS3" s="7" t="s">
        <v>136</v>
      </c>
      <c r="DT3" s="7" t="s">
        <v>136</v>
      </c>
      <c r="DU3" s="7" t="s">
        <v>136</v>
      </c>
      <c r="DV3" s="7" t="s">
        <v>136</v>
      </c>
      <c r="DW3" s="7" t="s">
        <v>136</v>
      </c>
      <c r="DX3" s="7" t="s">
        <v>136</v>
      </c>
      <c r="DY3" s="7" t="s">
        <v>136</v>
      </c>
      <c r="DZ3" s="7" t="s">
        <v>136</v>
      </c>
      <c r="EA3" s="7" t="s">
        <v>141</v>
      </c>
    </row>
    <row r="4" ht="22.5" customHeight="1">
      <c r="A4" s="6">
        <v>46200.526882453705</v>
      </c>
      <c r="B4" s="7" t="s">
        <v>142</v>
      </c>
      <c r="C4" s="7" t="s">
        <v>143</v>
      </c>
      <c r="D4" s="7" t="s">
        <v>133</v>
      </c>
      <c r="E4" s="7" t="s">
        <v>144</v>
      </c>
      <c r="F4" s="7" t="s">
        <v>145</v>
      </c>
      <c r="G4" s="7" t="s">
        <v>136</v>
      </c>
      <c r="H4" s="7" t="s">
        <v>136</v>
      </c>
      <c r="I4" s="7" t="s">
        <v>136</v>
      </c>
      <c r="J4" s="7" t="s">
        <v>136</v>
      </c>
      <c r="K4" s="7" t="s">
        <v>136</v>
      </c>
      <c r="L4" s="7" t="s">
        <v>136</v>
      </c>
      <c r="M4" s="7" t="s">
        <v>136</v>
      </c>
      <c r="N4" s="7" t="s">
        <v>136</v>
      </c>
      <c r="O4" s="7" t="s">
        <v>136</v>
      </c>
      <c r="P4" s="7" t="s">
        <v>136</v>
      </c>
      <c r="Q4" s="7" t="s">
        <v>136</v>
      </c>
      <c r="R4" s="7" t="s">
        <v>136</v>
      </c>
      <c r="S4" s="7" t="s">
        <v>136</v>
      </c>
      <c r="T4" s="7" t="s">
        <v>136</v>
      </c>
      <c r="U4" s="7" t="s">
        <v>136</v>
      </c>
      <c r="V4" s="7" t="s">
        <v>136</v>
      </c>
      <c r="W4" s="7" t="s">
        <v>136</v>
      </c>
      <c r="X4" s="7" t="s">
        <v>136</v>
      </c>
      <c r="Y4" s="7" t="s">
        <v>136</v>
      </c>
      <c r="Z4" s="7" t="s">
        <v>136</v>
      </c>
      <c r="AA4" s="7" t="s">
        <v>136</v>
      </c>
      <c r="AB4" s="7" t="s">
        <v>136</v>
      </c>
      <c r="AC4" s="7" t="s">
        <v>136</v>
      </c>
      <c r="AD4" s="7" t="s">
        <v>136</v>
      </c>
      <c r="AE4" s="4" t="s">
        <v>136</v>
      </c>
      <c r="AF4" s="4" t="s">
        <v>136</v>
      </c>
      <c r="AG4" s="4" t="s">
        <v>136</v>
      </c>
      <c r="AH4" s="4" t="s">
        <v>136</v>
      </c>
      <c r="AI4" s="4" t="s">
        <v>136</v>
      </c>
      <c r="AJ4" s="4" t="s">
        <v>136</v>
      </c>
      <c r="AK4" s="4" t="s">
        <v>136</v>
      </c>
      <c r="AL4" s="4" t="s">
        <v>136</v>
      </c>
      <c r="AM4" s="4" t="s">
        <v>136</v>
      </c>
      <c r="AN4" s="4" t="s">
        <v>136</v>
      </c>
      <c r="AO4" s="4" t="s">
        <v>136</v>
      </c>
      <c r="AP4" s="4" t="s">
        <v>136</v>
      </c>
      <c r="AQ4" s="4" t="s">
        <v>136</v>
      </c>
      <c r="AR4" s="4" t="s">
        <v>136</v>
      </c>
      <c r="AS4" s="4" t="s">
        <v>136</v>
      </c>
      <c r="AT4" s="4" t="s">
        <v>136</v>
      </c>
      <c r="AU4" s="4" t="s">
        <v>136</v>
      </c>
      <c r="AV4" s="4" t="s">
        <v>136</v>
      </c>
      <c r="AW4" s="4" t="s">
        <v>136</v>
      </c>
      <c r="AX4" s="4" t="s">
        <v>136</v>
      </c>
      <c r="AY4" s="4" t="s">
        <v>136</v>
      </c>
      <c r="AZ4" s="4" t="s">
        <v>136</v>
      </c>
      <c r="BA4" s="4" t="s">
        <v>136</v>
      </c>
      <c r="BB4" s="4" t="s">
        <v>136</v>
      </c>
      <c r="BC4" s="7" t="s">
        <v>136</v>
      </c>
      <c r="BD4" s="7" t="s">
        <v>136</v>
      </c>
      <c r="BE4" s="7" t="s">
        <v>136</v>
      </c>
      <c r="BF4" s="7" t="s">
        <v>136</v>
      </c>
      <c r="BG4" s="7" t="s">
        <v>136</v>
      </c>
      <c r="BH4" s="7" t="s">
        <v>136</v>
      </c>
      <c r="BI4" s="7" t="s">
        <v>136</v>
      </c>
      <c r="BJ4" s="7" t="s">
        <v>136</v>
      </c>
      <c r="BK4" s="4" t="s">
        <v>136</v>
      </c>
      <c r="BL4" s="4" t="s">
        <v>136</v>
      </c>
      <c r="BM4" s="4" t="s">
        <v>136</v>
      </c>
      <c r="BN4" s="4" t="s">
        <v>136</v>
      </c>
      <c r="BO4" s="4" t="s">
        <v>136</v>
      </c>
      <c r="BP4" s="4" t="s">
        <v>136</v>
      </c>
      <c r="BQ4" s="4" t="s">
        <v>136</v>
      </c>
      <c r="BR4" s="4" t="s">
        <v>136</v>
      </c>
      <c r="BS4" s="7" t="s">
        <v>136</v>
      </c>
      <c r="BT4" s="7" t="s">
        <v>136</v>
      </c>
      <c r="BU4" s="7" t="s">
        <v>137</v>
      </c>
      <c r="BV4" s="7" t="s">
        <v>136</v>
      </c>
      <c r="BW4" s="7" t="s">
        <v>136</v>
      </c>
      <c r="BX4" s="7" t="s">
        <v>136</v>
      </c>
      <c r="BY4" s="7" t="s">
        <v>137</v>
      </c>
      <c r="BZ4" s="7" t="s">
        <v>136</v>
      </c>
      <c r="CA4" s="7" t="s">
        <v>136</v>
      </c>
      <c r="CB4" s="7" t="s">
        <v>136</v>
      </c>
      <c r="CC4" s="7" t="s">
        <v>136</v>
      </c>
      <c r="CD4" s="7" t="s">
        <v>136</v>
      </c>
      <c r="CE4" s="7" t="s">
        <v>136</v>
      </c>
      <c r="CF4" s="7" t="s">
        <v>136</v>
      </c>
      <c r="CG4" s="7" t="s">
        <v>136</v>
      </c>
      <c r="CH4" s="7" t="s">
        <v>136</v>
      </c>
      <c r="CI4" s="7" t="s">
        <v>136</v>
      </c>
      <c r="CJ4" s="7" t="s">
        <v>136</v>
      </c>
      <c r="CK4" s="7" t="s">
        <v>136</v>
      </c>
      <c r="CL4" s="7" t="s">
        <v>136</v>
      </c>
      <c r="CM4" s="7" t="s">
        <v>136</v>
      </c>
      <c r="CN4" s="7" t="s">
        <v>136</v>
      </c>
      <c r="CO4" s="7" t="s">
        <v>137</v>
      </c>
      <c r="CP4" s="7" t="s">
        <v>136</v>
      </c>
      <c r="CQ4" s="7" t="s">
        <v>136</v>
      </c>
      <c r="CR4" s="7" t="s">
        <v>136</v>
      </c>
      <c r="CS4" s="7" t="s">
        <v>136</v>
      </c>
      <c r="CT4" s="7" t="s">
        <v>136</v>
      </c>
      <c r="CU4" s="7" t="s">
        <v>136</v>
      </c>
      <c r="CV4" s="7" t="s">
        <v>136</v>
      </c>
      <c r="CW4" s="7" t="s">
        <v>137</v>
      </c>
      <c r="CX4" s="7" t="s">
        <v>136</v>
      </c>
      <c r="CY4" s="7" t="s">
        <v>136</v>
      </c>
      <c r="CZ4" s="7" t="s">
        <v>136</v>
      </c>
      <c r="DA4" s="7" t="s">
        <v>136</v>
      </c>
      <c r="DB4" s="7" t="s">
        <v>136</v>
      </c>
      <c r="DC4" s="7" t="s">
        <v>136</v>
      </c>
      <c r="DD4" s="7" t="s">
        <v>136</v>
      </c>
      <c r="DE4" s="7" t="s">
        <v>136</v>
      </c>
      <c r="DF4" s="7" t="s">
        <v>136</v>
      </c>
      <c r="DG4" s="7" t="s">
        <v>136</v>
      </c>
      <c r="DH4" s="7" t="s">
        <v>136</v>
      </c>
      <c r="DI4" s="7" t="s">
        <v>137</v>
      </c>
      <c r="DJ4" s="7" t="s">
        <v>136</v>
      </c>
      <c r="DK4" s="7" t="s">
        <v>136</v>
      </c>
      <c r="DL4" s="7" t="s">
        <v>136</v>
      </c>
      <c r="DM4" s="7" t="s">
        <v>136</v>
      </c>
      <c r="DN4" s="7" t="s">
        <v>136</v>
      </c>
      <c r="DO4" s="7" t="s">
        <v>136</v>
      </c>
      <c r="DP4" s="7" t="s">
        <v>136</v>
      </c>
      <c r="DQ4" s="7" t="s">
        <v>137</v>
      </c>
      <c r="DR4" s="7" t="s">
        <v>136</v>
      </c>
      <c r="DS4" s="7" t="s">
        <v>136</v>
      </c>
      <c r="DT4" s="7" t="s">
        <v>136</v>
      </c>
      <c r="DU4" s="7" t="s">
        <v>136</v>
      </c>
      <c r="DV4" s="7" t="s">
        <v>136</v>
      </c>
      <c r="DW4" s="7" t="s">
        <v>136</v>
      </c>
      <c r="DX4" s="7" t="s">
        <v>136</v>
      </c>
      <c r="DY4" s="7" t="s">
        <v>137</v>
      </c>
      <c r="DZ4" s="7" t="s">
        <v>136</v>
      </c>
      <c r="EA4" s="7" t="s">
        <v>146</v>
      </c>
    </row>
    <row r="5" ht="22.5" customHeight="1">
      <c r="A5" s="2"/>
      <c r="B5" s="3"/>
      <c r="C5" s="3" t="s">
        <v>147</v>
      </c>
      <c r="D5" s="3"/>
      <c r="E5" s="3"/>
      <c r="F5" s="3"/>
      <c r="G5" s="3" t="s">
        <v>136</v>
      </c>
      <c r="H5" s="3" t="s">
        <v>136</v>
      </c>
      <c r="I5" s="3" t="s">
        <v>136</v>
      </c>
      <c r="J5" s="3" t="s">
        <v>136</v>
      </c>
      <c r="K5" s="7" t="s">
        <v>136</v>
      </c>
      <c r="L5" s="7" t="s">
        <v>136</v>
      </c>
      <c r="M5" s="7" t="s">
        <v>136</v>
      </c>
      <c r="N5" s="7" t="s">
        <v>136</v>
      </c>
      <c r="O5" s="7" t="s">
        <v>136</v>
      </c>
      <c r="P5" s="7" t="s">
        <v>136</v>
      </c>
      <c r="Q5" s="7" t="s">
        <v>136</v>
      </c>
      <c r="R5" s="7" t="s">
        <v>136</v>
      </c>
      <c r="S5" s="3" t="s">
        <v>136</v>
      </c>
      <c r="T5" s="3" t="s">
        <v>136</v>
      </c>
      <c r="U5" s="3" t="s">
        <v>136</v>
      </c>
      <c r="V5" s="3" t="s">
        <v>136</v>
      </c>
      <c r="W5" s="3" t="s">
        <v>136</v>
      </c>
      <c r="X5" s="3" t="s">
        <v>136</v>
      </c>
      <c r="Y5" s="3" t="s">
        <v>136</v>
      </c>
      <c r="Z5" s="3" t="s">
        <v>136</v>
      </c>
      <c r="AA5" s="3" t="s">
        <v>137</v>
      </c>
      <c r="AB5" s="3" t="s">
        <v>137</v>
      </c>
      <c r="AC5" s="3" t="s">
        <v>137</v>
      </c>
      <c r="AD5" s="3" t="s">
        <v>137</v>
      </c>
      <c r="AE5" s="4" t="s">
        <v>148</v>
      </c>
      <c r="AF5" s="4" t="s">
        <v>148</v>
      </c>
      <c r="AG5" s="4" t="s">
        <v>148</v>
      </c>
      <c r="AH5" s="4" t="s">
        <v>148</v>
      </c>
      <c r="AI5" s="4" t="s">
        <v>148</v>
      </c>
      <c r="AJ5" s="4" t="s">
        <v>148</v>
      </c>
      <c r="AK5" s="4" t="s">
        <v>148</v>
      </c>
      <c r="AL5" s="4" t="s">
        <v>148</v>
      </c>
      <c r="AM5" s="4" t="s">
        <v>148</v>
      </c>
      <c r="AN5" s="4" t="s">
        <v>148</v>
      </c>
      <c r="AO5" s="4" t="s">
        <v>148</v>
      </c>
      <c r="AP5" s="4" t="s">
        <v>148</v>
      </c>
      <c r="AQ5" s="4" t="s">
        <v>148</v>
      </c>
      <c r="AR5" s="4" t="s">
        <v>148</v>
      </c>
      <c r="AS5" s="4" t="s">
        <v>148</v>
      </c>
      <c r="AT5" s="4" t="s">
        <v>148</v>
      </c>
      <c r="AU5" s="4" t="s">
        <v>148</v>
      </c>
      <c r="AV5" s="4" t="s">
        <v>148</v>
      </c>
      <c r="AW5" s="4" t="s">
        <v>148</v>
      </c>
      <c r="AX5" s="4" t="s">
        <v>148</v>
      </c>
      <c r="AY5" s="4" t="s">
        <v>148</v>
      </c>
      <c r="AZ5" s="4" t="s">
        <v>148</v>
      </c>
      <c r="BA5" s="4" t="s">
        <v>148</v>
      </c>
      <c r="BB5" s="4" t="s">
        <v>148</v>
      </c>
      <c r="BC5" s="3" t="s">
        <v>136</v>
      </c>
      <c r="BD5" s="3" t="s">
        <v>136</v>
      </c>
      <c r="BE5" s="3" t="s">
        <v>136</v>
      </c>
      <c r="BF5" s="3" t="s">
        <v>136</v>
      </c>
      <c r="BG5" s="3" t="s">
        <v>136</v>
      </c>
      <c r="BH5" s="3" t="s">
        <v>136</v>
      </c>
      <c r="BI5" s="3" t="s">
        <v>136</v>
      </c>
      <c r="BJ5" s="3" t="s">
        <v>136</v>
      </c>
      <c r="BK5" s="4" t="s">
        <v>148</v>
      </c>
      <c r="BL5" s="4" t="s">
        <v>148</v>
      </c>
      <c r="BM5" s="4" t="s">
        <v>148</v>
      </c>
      <c r="BN5" s="4" t="s">
        <v>148</v>
      </c>
      <c r="BO5" s="4" t="s">
        <v>148</v>
      </c>
      <c r="BP5" s="4" t="s">
        <v>148</v>
      </c>
      <c r="BQ5" s="4" t="s">
        <v>148</v>
      </c>
      <c r="BR5" s="4" t="s">
        <v>148</v>
      </c>
      <c r="BS5" s="3" t="s">
        <v>136</v>
      </c>
      <c r="BT5" s="3" t="s">
        <v>136</v>
      </c>
      <c r="BU5" s="3" t="s">
        <v>136</v>
      </c>
      <c r="BV5" s="3" t="s">
        <v>136</v>
      </c>
      <c r="BW5" s="3" t="s">
        <v>136</v>
      </c>
      <c r="BX5" s="7" t="s">
        <v>136</v>
      </c>
      <c r="BY5" s="7" t="s">
        <v>136</v>
      </c>
      <c r="BZ5" s="7" t="s">
        <v>136</v>
      </c>
      <c r="CA5" s="3" t="s">
        <v>136</v>
      </c>
      <c r="CB5" s="3" t="s">
        <v>136</v>
      </c>
      <c r="CC5" s="3" t="s">
        <v>136</v>
      </c>
      <c r="CD5" s="3" t="s">
        <v>136</v>
      </c>
      <c r="CE5" s="7" t="s">
        <v>136</v>
      </c>
      <c r="CF5" s="7" t="s">
        <v>136</v>
      </c>
      <c r="CG5" s="7" t="s">
        <v>136</v>
      </c>
      <c r="CH5" s="7" t="s">
        <v>136</v>
      </c>
      <c r="CI5" s="7" t="s">
        <v>136</v>
      </c>
      <c r="CJ5" s="7" t="s">
        <v>136</v>
      </c>
      <c r="CK5" s="7" t="s">
        <v>136</v>
      </c>
      <c r="CL5" s="7" t="s">
        <v>136</v>
      </c>
      <c r="CM5" s="3" t="s">
        <v>136</v>
      </c>
      <c r="CN5" s="3" t="s">
        <v>136</v>
      </c>
      <c r="CO5" s="3" t="s">
        <v>136</v>
      </c>
      <c r="CP5" s="3" t="s">
        <v>136</v>
      </c>
      <c r="CQ5" s="7" t="s">
        <v>136</v>
      </c>
      <c r="CR5" s="7" t="s">
        <v>136</v>
      </c>
      <c r="CS5" s="7" t="s">
        <v>136</v>
      </c>
      <c r="CT5" s="7" t="s">
        <v>136</v>
      </c>
      <c r="CU5" s="3" t="s">
        <v>136</v>
      </c>
      <c r="CV5" s="3" t="s">
        <v>136</v>
      </c>
      <c r="CW5" s="3" t="s">
        <v>136</v>
      </c>
      <c r="CX5" s="3" t="s">
        <v>136</v>
      </c>
      <c r="CY5" s="3" t="s">
        <v>136</v>
      </c>
      <c r="CZ5" s="3" t="s">
        <v>137</v>
      </c>
      <c r="DA5" s="3" t="s">
        <v>136</v>
      </c>
      <c r="DB5" s="3" t="s">
        <v>136</v>
      </c>
      <c r="DC5" s="3" t="s">
        <v>136</v>
      </c>
      <c r="DD5" s="3" t="s">
        <v>137</v>
      </c>
      <c r="DE5" s="3" t="s">
        <v>136</v>
      </c>
      <c r="DF5" s="3" t="s">
        <v>136</v>
      </c>
      <c r="DG5" s="7" t="s">
        <v>136</v>
      </c>
      <c r="DH5" s="7" t="s">
        <v>136</v>
      </c>
      <c r="DI5" s="7" t="s">
        <v>136</v>
      </c>
      <c r="DJ5" s="7" t="s">
        <v>136</v>
      </c>
      <c r="DK5" s="7" t="s">
        <v>136</v>
      </c>
      <c r="DL5" s="7" t="s">
        <v>136</v>
      </c>
      <c r="DM5" s="7" t="s">
        <v>136</v>
      </c>
      <c r="DN5" s="7" t="s">
        <v>136</v>
      </c>
      <c r="DO5" s="7" t="s">
        <v>136</v>
      </c>
      <c r="DP5" s="7" t="s">
        <v>136</v>
      </c>
      <c r="DQ5" s="7" t="s">
        <v>136</v>
      </c>
      <c r="DR5" s="7" t="s">
        <v>136</v>
      </c>
      <c r="DS5" s="3" t="s">
        <v>136</v>
      </c>
      <c r="DT5" s="3" t="s">
        <v>137</v>
      </c>
      <c r="DU5" s="3" t="s">
        <v>136</v>
      </c>
      <c r="DV5" s="3" t="s">
        <v>136</v>
      </c>
      <c r="DW5" s="3" t="s">
        <v>136</v>
      </c>
      <c r="DX5" s="3" t="s">
        <v>137</v>
      </c>
      <c r="DY5" s="3" t="s">
        <v>136</v>
      </c>
      <c r="DZ5" s="3" t="s">
        <v>136</v>
      </c>
      <c r="EA5" s="3"/>
    </row>
    <row r="6" ht="22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8" t="s">
        <v>149</v>
      </c>
      <c r="AB6" s="3"/>
      <c r="AC6" s="3"/>
      <c r="AD6" s="3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3"/>
      <c r="BD6" s="3"/>
      <c r="BE6" s="3"/>
      <c r="BF6" s="3"/>
      <c r="BG6" s="3"/>
      <c r="BH6" s="3"/>
      <c r="BI6" s="3"/>
      <c r="BJ6" s="3"/>
      <c r="BK6" s="4"/>
      <c r="BL6" s="4"/>
      <c r="BM6" s="4"/>
      <c r="BN6" s="4"/>
      <c r="BO6" s="4"/>
      <c r="BP6" s="4"/>
      <c r="BQ6" s="4"/>
      <c r="BR6" s="4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8" t="s">
        <v>150</v>
      </c>
      <c r="CZ6" s="9" t="s">
        <v>151</v>
      </c>
      <c r="DA6" s="8" t="s">
        <v>152</v>
      </c>
      <c r="DB6" s="9" t="s">
        <v>153</v>
      </c>
      <c r="DC6" s="9" t="s">
        <v>154</v>
      </c>
      <c r="DD6" s="8" t="s">
        <v>155</v>
      </c>
      <c r="DE6" s="8" t="s">
        <v>156</v>
      </c>
      <c r="DF6" s="9" t="s">
        <v>157</v>
      </c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8" t="s">
        <v>158</v>
      </c>
      <c r="DT6" s="9" t="s">
        <v>159</v>
      </c>
      <c r="DU6" s="9" t="s">
        <v>160</v>
      </c>
      <c r="DV6" s="9" t="s">
        <v>161</v>
      </c>
      <c r="DW6" s="9" t="s">
        <v>162</v>
      </c>
      <c r="DX6" s="9" t="s">
        <v>163</v>
      </c>
      <c r="DY6" s="9" t="s">
        <v>164</v>
      </c>
      <c r="DZ6" s="9" t="s">
        <v>165</v>
      </c>
      <c r="EA6" s="9"/>
    </row>
    <row r="8">
      <c r="A8" s="10" t="s">
        <v>166</v>
      </c>
      <c r="B8" s="10" t="s">
        <v>167</v>
      </c>
      <c r="C8" s="10" t="s">
        <v>168</v>
      </c>
    </row>
    <row r="9">
      <c r="A9" s="10" t="s">
        <v>169</v>
      </c>
      <c r="B9" s="11">
        <f>COUNTIFS(G5:EA5, "Sim", G$1:EA$1, "*(JUI-01)*") + COUNTIFS(G6:EA6, "Sim", G$1:EA$1, "*(JUI-01)*")</f>
        <v>22</v>
      </c>
      <c r="C9" s="11">
        <f>COUNTIFS(H5:EB5, "Não", H$1:EB$1, "*(JUI-01)*") + COUNTIFS(H6:EB6, "Não", H$1:EB$1, "*(JUI-01)*")</f>
        <v>1</v>
      </c>
    </row>
    <row r="10">
      <c r="A10" s="10" t="s">
        <v>170</v>
      </c>
      <c r="B10" s="11">
        <f>COUNTIFS(G5:EA5, "Sim", G$1:EA$1, "*(JUI-02)*") + COUNTIFS(G6:EA6, "Sim", G$1:EA$1, "*(JUI-02)*")</f>
        <v>18</v>
      </c>
      <c r="C10" s="11">
        <f>COUNTIFS(H5:EB5, "Não", H$1:EB$1, "*(JUI-02)*") + COUNTIFS(H6:EB6, "Não", H$1:EB$1, "*(JUI-02)*")</f>
        <v>5</v>
      </c>
    </row>
    <row r="11">
      <c r="A11" s="10" t="s">
        <v>171</v>
      </c>
      <c r="B11" s="11">
        <f>COUNTIFS(G5:EA5, "Sim", G$1:EA$1, "*(JUI-03)*") + COUNTIFS(G6:EA6, "Sim", G$1:EA$1, "*(JUI-03)*")</f>
        <v>22</v>
      </c>
      <c r="C11" s="11">
        <f>COUNTIFS(H5:EB5, "Não", H$1:EB$1, "*(JUI-03)*") + COUNTIFS(H6:EB6, "Não", H$1:EB$1, "*(JUI-03)*")</f>
        <v>1</v>
      </c>
    </row>
    <row r="12">
      <c r="A12" s="10" t="s">
        <v>172</v>
      </c>
      <c r="B12" s="11">
        <f>COUNTIFS(G5:EA5, "Sim", G$1:EA$1, "*(JUI-04)*") + COUNTIFS(G6:EA6, "Sim", G$1:EA$1, "*(JUI-04)*")</f>
        <v>22</v>
      </c>
      <c r="C12" s="11">
        <f>COUNTIFS(G5:EA5, "Não", G$1:EA$1, "*(JUI-04)*") + COUNTIFS(G6:EA6, "Não", G$1:EA$1, "*(JUI-04)*")</f>
        <v>1</v>
      </c>
    </row>
    <row r="14">
      <c r="A14" s="10" t="s">
        <v>173</v>
      </c>
      <c r="B14" s="10" t="s">
        <v>167</v>
      </c>
      <c r="C14" s="10" t="s">
        <v>168</v>
      </c>
    </row>
    <row r="15">
      <c r="A15" s="10" t="s">
        <v>169</v>
      </c>
      <c r="B15" s="12">
        <v>5.0</v>
      </c>
      <c r="C15" s="12">
        <v>1.0</v>
      </c>
    </row>
    <row r="16">
      <c r="A16" s="10" t="s">
        <v>170</v>
      </c>
      <c r="B16" s="12">
        <v>5.0</v>
      </c>
      <c r="C16" s="12">
        <v>1.0</v>
      </c>
    </row>
    <row r="17">
      <c r="A17" s="10" t="s">
        <v>171</v>
      </c>
      <c r="B17" s="12">
        <v>5.0</v>
      </c>
      <c r="C17" s="12">
        <v>1.0</v>
      </c>
    </row>
    <row r="18">
      <c r="A18" s="10" t="s">
        <v>172</v>
      </c>
      <c r="B18" s="12">
        <v>5.0</v>
      </c>
      <c r="C18" s="12">
        <v>1.0</v>
      </c>
    </row>
    <row r="20">
      <c r="A20" s="10" t="s">
        <v>174</v>
      </c>
      <c r="B20" s="10" t="s">
        <v>167</v>
      </c>
      <c r="C20" s="10" t="s">
        <v>168</v>
      </c>
    </row>
    <row r="21">
      <c r="A21" s="10" t="s">
        <v>169</v>
      </c>
      <c r="B21" s="12">
        <v>2.0</v>
      </c>
      <c r="C21" s="11">
        <f>COUNTIFS(H17:EB17, "Não", H$1:EB$1, "*(JUI-01)*") + COUNTIFS(H18:EB18, "Não", H$1:EB$1, "*(JUI-01)*")</f>
        <v>0</v>
      </c>
    </row>
    <row r="22">
      <c r="A22" s="10" t="s">
        <v>170</v>
      </c>
      <c r="B22" s="12">
        <v>2.0</v>
      </c>
      <c r="C22" s="11">
        <f>COUNTIFS(H17:EB17, "Não", H$1:EB$1, "*(JUI-02)*") + COUNTIFS(H18:EB18, "Não", H$1:EB$1, "*(JUI-02)*")</f>
        <v>0</v>
      </c>
    </row>
    <row r="23">
      <c r="A23" s="10" t="s">
        <v>171</v>
      </c>
      <c r="B23" s="12">
        <v>2.0</v>
      </c>
      <c r="C23" s="11">
        <f>COUNTIFS(H17:EB17, "Não", H$1:EB$1, "*(JUI-03)*") + COUNTIFS(H18:EB18, "Não", H$1:EB$1, "*(JUI-03)*")</f>
        <v>0</v>
      </c>
    </row>
    <row r="24">
      <c r="A24" s="10" t="s">
        <v>172</v>
      </c>
      <c r="B24" s="12">
        <v>2.0</v>
      </c>
      <c r="C24" s="11">
        <f>COUNTIFS(G17:EA17, "Não", G$1:EA$1, "*(JUI-04)*") + COUNTIFS(G18:EA18, "Não", G$1:EA$1, "*(JUI-04)*")</f>
        <v>0</v>
      </c>
    </row>
    <row r="26">
      <c r="A26" s="10" t="s">
        <v>175</v>
      </c>
      <c r="B26" s="10" t="s">
        <v>167</v>
      </c>
      <c r="C26" s="10" t="s">
        <v>168</v>
      </c>
    </row>
    <row r="27">
      <c r="A27" s="10" t="s">
        <v>169</v>
      </c>
      <c r="B27" s="12">
        <v>15.0</v>
      </c>
      <c r="C27" s="11">
        <f>COUNTIFS(H23:EB23, "Não", H$1:EB$1, "*(JUI-01)*") + COUNTIFS(H24:EB24, "Não", H$1:EB$1, "*(JUI-01)*")</f>
        <v>0</v>
      </c>
    </row>
    <row r="28">
      <c r="A28" s="10" t="s">
        <v>170</v>
      </c>
      <c r="B28" s="12">
        <v>11.0</v>
      </c>
      <c r="C28" s="12">
        <v>4.0</v>
      </c>
    </row>
    <row r="29">
      <c r="A29" s="10" t="s">
        <v>171</v>
      </c>
      <c r="B29" s="12">
        <v>15.0</v>
      </c>
      <c r="C29" s="11">
        <f>COUNTIFS(H23:EB23, "Não", H$1:EB$1, "*(JUI-03)*") + COUNTIFS(H24:EB24, "Não", H$1:EB$1, "*(JUI-03)*")</f>
        <v>0</v>
      </c>
    </row>
    <row r="30">
      <c r="A30" s="10" t="s">
        <v>172</v>
      </c>
      <c r="B30" s="12">
        <v>15.0</v>
      </c>
      <c r="C30" s="11">
        <f>COUNTIFS(G23:EA23, "Não", G$1:EA$1, "*(JUI-04)*") + COUNTIFS(G24:EA24, "Não", G$1:EA$1, "*(JUI-04)*")</f>
        <v>0</v>
      </c>
    </row>
  </sheetData>
  <drawing r:id="rId1"/>
  <tableParts count="1">
    <tablePart r:id="rId3"/>
  </tableParts>
</worksheet>
</file>