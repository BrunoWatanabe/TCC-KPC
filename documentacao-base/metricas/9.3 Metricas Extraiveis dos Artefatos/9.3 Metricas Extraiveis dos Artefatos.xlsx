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.3 Metricas Extraiveis dos Art" sheetId="1" r:id="rId5"/>
  </sheets>
  <definedNames/>
  <calcPr/>
</workbook>
</file>

<file path=xl/sharedStrings.xml><?xml version="1.0" encoding="utf-8"?>
<sst xmlns="http://schemas.openxmlformats.org/spreadsheetml/2006/main" count="148" uniqueCount="92">
  <si>
    <t>Metric_ID</t>
  </si>
  <si>
    <t>Subcategory</t>
  </si>
  <si>
    <t>Sprint_01</t>
  </si>
  <si>
    <t>Sprint_02</t>
  </si>
  <si>
    <t>Sprint_03</t>
  </si>
  <si>
    <t>Global</t>
  </si>
  <si>
    <t>M1</t>
  </si>
  <si>
    <t>Total de evidências</t>
  </si>
  <si>
    <t>M2</t>
  </si>
  <si>
    <t>NOVAS</t>
  </si>
  <si>
    <t>PERSISTEM</t>
  </si>
  <si>
    <t>REABERTAS (se houver)</t>
  </si>
  <si>
    <t>M3</t>
  </si>
  <si>
    <t xml:space="preserve">TAG_MODEL_AUSENTE </t>
  </si>
  <si>
    <t>NOME_DIVERGENTE</t>
  </si>
  <si>
    <t>OVER_ENGINEERING</t>
  </si>
  <si>
    <t>BUG_CODIGO</t>
  </si>
  <si>
    <t>CORRECAO_INCOMPLETA</t>
  </si>
  <si>
    <t>MODELO_INSUFICIENTE</t>
  </si>
  <si>
    <t>METODO_EXTRAS</t>
  </si>
  <si>
    <t>ATRIBUTO_EXTRAS</t>
  </si>
  <si>
    <t>M4</t>
  </si>
  <si>
    <t>BAIXA</t>
  </si>
  <si>
    <t>MEDIA</t>
  </si>
  <si>
    <t>ALTA</t>
  </si>
  <si>
    <t>M5</t>
  </si>
  <si>
    <t>Taxa de resolução acumulada (RESOLVIDAS/Total)</t>
  </si>
  <si>
    <t>M6</t>
  </si>
  <si>
    <t>Taxa de persistência média (PERSISTEM/Total na rodada)</t>
  </si>
  <si>
    <t>M7</t>
  </si>
  <si>
    <t>Número de cadeias pai-filho (árvore de evidências)</t>
  </si>
  <si>
    <t>M8</t>
  </si>
  <si>
    <t>Total de vereditos proferidos</t>
  </si>
  <si>
    <t>M9</t>
  </si>
  <si>
    <t>DE</t>
  </si>
  <si>
    <t>AE</t>
  </si>
  <si>
    <t>AMBOS</t>
  </si>
  <si>
    <t>NE</t>
  </si>
  <si>
    <t>M10</t>
  </si>
  <si>
    <t>TAG_MODEL_AUSENTE_DE</t>
  </si>
  <si>
    <t>NOME_DIVERGENTE_DE</t>
  </si>
  <si>
    <t>OVER_ENGINEERING_DE</t>
  </si>
  <si>
    <t>BUG_CODIGO_DE</t>
  </si>
  <si>
    <t>CORRECAO_INCOMPLETA_DE</t>
  </si>
  <si>
    <t>MODELO_INSUFICIENTE_DE</t>
  </si>
  <si>
    <t>METODO_EXTRAS_DE</t>
  </si>
  <si>
    <t>ATRIBUTO_EXTRAS_DE</t>
  </si>
  <si>
    <t>TAG_MODEL_AUSENTE_AE</t>
  </si>
  <si>
    <t>NOME_DIVERGENTE_AE</t>
  </si>
  <si>
    <t>OVER_ENGINEERING_AE</t>
  </si>
  <si>
    <t>BUG_CODIGO_AE</t>
  </si>
  <si>
    <t>CORRECAO_INCOMPLETA_AE</t>
  </si>
  <si>
    <t>MODELO_INSUFICIENTE_AE</t>
  </si>
  <si>
    <t>METODO_EXTRAS_AE</t>
  </si>
  <si>
    <t>ATRIBUTO_EXTRAS_AE</t>
  </si>
  <si>
    <t>TAG_MODEL_AUSENTE_AMBOS</t>
  </si>
  <si>
    <t>NOME_DIVERGENTE_AMBOS</t>
  </si>
  <si>
    <t>OVER_ENGINEERING_AMBOS</t>
  </si>
  <si>
    <t>BUG_CODIGO_AMBOS</t>
  </si>
  <si>
    <t>CORRECAO_INCOMPLETA_AMBOS</t>
  </si>
  <si>
    <t>MODELO_INSUFICIENTE_AMBOS</t>
  </si>
  <si>
    <t>METODO_EXTRAS_AMBOS</t>
  </si>
  <si>
    <t>ATRIBUTO_EXTRAS_AMBOS</t>
  </si>
  <si>
    <t>TAG_MODEL_AUSENTE_NE</t>
  </si>
  <si>
    <t>NOME_DIVERGENTE_NE</t>
  </si>
  <si>
    <t>OVER_ENGINEERING_NE</t>
  </si>
  <si>
    <t>BUG_CODIGO_NE</t>
  </si>
  <si>
    <t>CORRECAO_INCOMPLETA_NE</t>
  </si>
  <si>
    <t>MODELO_INSUFICIENTE_NE</t>
  </si>
  <si>
    <t>METODO_EXTRAS_NE</t>
  </si>
  <si>
    <t>ATRIBUTO_EXTRAS_NE</t>
  </si>
  <si>
    <t>M11</t>
  </si>
  <si>
    <t>BAIXA_DE</t>
  </si>
  <si>
    <t>MEDIA_DE</t>
  </si>
  <si>
    <t>ALTO_DE</t>
  </si>
  <si>
    <t>BAIXA_AE</t>
  </si>
  <si>
    <t>MEDIA_AE</t>
  </si>
  <si>
    <t>ALTO_AE</t>
  </si>
  <si>
    <t>BAIXA_AMBOS</t>
  </si>
  <si>
    <t>MEDIA_AMBOS</t>
  </si>
  <si>
    <t>ALTO_AMBOS</t>
  </si>
  <si>
    <t>BAIXA_NE</t>
  </si>
  <si>
    <t>MEDIA_NE</t>
  </si>
  <si>
    <t>ALTO_NE</t>
  </si>
  <si>
    <t>M12</t>
  </si>
  <si>
    <t>Número de rodadas por sprint</t>
  </si>
  <si>
    <t>M13</t>
  </si>
  <si>
    <t>Ciclo de vida médio da evidência (rodadas)</t>
  </si>
  <si>
    <t>M14</t>
  </si>
  <si>
    <t>Taxa de reincidência (REABERTAS/Total)</t>
  </si>
  <si>
    <t>M15</t>
  </si>
  <si>
    <t>Densidade (evidências / elementos modelados)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</si>
</sst>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5" fillId="0" fontId="1" numFmtId="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4" xfId="0" applyAlignment="1" applyBorder="1" applyFont="1" applyNumberFormat="1">
      <alignment horizontal="center"/>
    </xf>
    <xf borderId="8" fillId="0" fontId="1" numFmtId="4" xfId="0" applyAlignment="1" applyBorder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</dxfs>
  <tableStyles count="1">
    <tableStyle count="3" pivot="0" name="9.3 Metricas Extraiveis dos 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G7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9.3 Metricas Extraiveis dos 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>
        <v>6.0</v>
      </c>
      <c r="D2" s="7">
        <v>2.0</v>
      </c>
      <c r="E2" s="7">
        <v>15.0</v>
      </c>
      <c r="F2" s="8">
        <f t="shared" ref="F2:F69" si="1">SUM(C2:E2)</f>
        <v>23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6" t="s">
        <v>9</v>
      </c>
      <c r="C3" s="7">
        <v>6.0</v>
      </c>
      <c r="D3" s="7">
        <v>2.0</v>
      </c>
      <c r="E3" s="7">
        <v>15.0</v>
      </c>
      <c r="F3" s="8">
        <f t="shared" si="1"/>
        <v>23</v>
      </c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</v>
      </c>
      <c r="B4" s="6" t="s">
        <v>10</v>
      </c>
      <c r="C4" s="7">
        <v>0.0</v>
      </c>
      <c r="D4" s="7">
        <v>0.0</v>
      </c>
      <c r="E4" s="7">
        <v>0.0</v>
      </c>
      <c r="F4" s="8">
        <f t="shared" si="1"/>
        <v>0</v>
      </c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6" t="s">
        <v>11</v>
      </c>
      <c r="C5" s="7">
        <v>0.0</v>
      </c>
      <c r="D5" s="7">
        <v>0.0</v>
      </c>
      <c r="E5" s="7">
        <v>0.0</v>
      </c>
      <c r="F5" s="8">
        <f t="shared" si="1"/>
        <v>0</v>
      </c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 t="s">
        <v>13</v>
      </c>
      <c r="C6" s="7">
        <v>1.0</v>
      </c>
      <c r="D6" s="7">
        <v>0.0</v>
      </c>
      <c r="E6" s="7">
        <f>2+3+3</f>
        <v>8</v>
      </c>
      <c r="F6" s="8">
        <f t="shared" si="1"/>
        <v>9</v>
      </c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 t="s">
        <v>14</v>
      </c>
      <c r="C7" s="7">
        <v>1.0</v>
      </c>
      <c r="D7" s="7">
        <v>0.0</v>
      </c>
      <c r="E7" s="7">
        <v>0.0</v>
      </c>
      <c r="F7" s="8">
        <f t="shared" si="1"/>
        <v>1</v>
      </c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 t="s">
        <v>15</v>
      </c>
      <c r="C8" s="7">
        <v>3.0</v>
      </c>
      <c r="D8" s="7">
        <v>0.0</v>
      </c>
      <c r="E8" s="7">
        <v>0.0</v>
      </c>
      <c r="F8" s="8">
        <f t="shared" si="1"/>
        <v>3</v>
      </c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 t="s">
        <v>16</v>
      </c>
      <c r="C9" s="7">
        <v>1.0</v>
      </c>
      <c r="D9" s="7">
        <v>0.0</v>
      </c>
      <c r="E9" s="7">
        <v>0.0</v>
      </c>
      <c r="F9" s="8">
        <f t="shared" si="1"/>
        <v>1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 t="s">
        <v>17</v>
      </c>
      <c r="C10" s="7">
        <v>0.0</v>
      </c>
      <c r="D10" s="7">
        <v>1.0</v>
      </c>
      <c r="E10" s="7">
        <v>0.0</v>
      </c>
      <c r="F10" s="8">
        <f t="shared" si="1"/>
        <v>1</v>
      </c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 t="s">
        <v>18</v>
      </c>
      <c r="C11" s="7">
        <v>0.0</v>
      </c>
      <c r="D11" s="7">
        <v>1.0</v>
      </c>
      <c r="E11" s="7">
        <v>0.0</v>
      </c>
      <c r="F11" s="8">
        <f t="shared" si="1"/>
        <v>1</v>
      </c>
      <c r="G11" s="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 t="s">
        <v>19</v>
      </c>
      <c r="C12" s="7">
        <v>0.0</v>
      </c>
      <c r="D12" s="7">
        <v>0.0</v>
      </c>
      <c r="E12" s="7">
        <f>3+1+2</f>
        <v>6</v>
      </c>
      <c r="F12" s="8">
        <f t="shared" si="1"/>
        <v>6</v>
      </c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 t="s">
        <v>20</v>
      </c>
      <c r="C13" s="7">
        <v>0.0</v>
      </c>
      <c r="D13" s="7">
        <v>0.0</v>
      </c>
      <c r="E13" s="7">
        <v>1.0</v>
      </c>
      <c r="F13" s="8">
        <f t="shared" si="1"/>
        <v>1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21</v>
      </c>
      <c r="B14" s="6" t="s">
        <v>22</v>
      </c>
      <c r="C14" s="7">
        <v>0.0</v>
      </c>
      <c r="D14" s="7">
        <v>0.0</v>
      </c>
      <c r="E14" s="10">
        <f>2+3+3</f>
        <v>8</v>
      </c>
      <c r="F14" s="8">
        <f t="shared" si="1"/>
        <v>8</v>
      </c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21</v>
      </c>
      <c r="B15" s="6" t="s">
        <v>23</v>
      </c>
      <c r="C15" s="7">
        <v>3.0</v>
      </c>
      <c r="D15" s="7">
        <v>0.0</v>
      </c>
      <c r="E15" s="10">
        <f>3+2+2</f>
        <v>7</v>
      </c>
      <c r="F15" s="8">
        <f t="shared" si="1"/>
        <v>10</v>
      </c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21</v>
      </c>
      <c r="B16" s="6" t="s">
        <v>24</v>
      </c>
      <c r="C16" s="7">
        <v>3.0</v>
      </c>
      <c r="D16" s="7">
        <v>2.0</v>
      </c>
      <c r="E16" s="7">
        <v>0.0</v>
      </c>
      <c r="F16" s="8">
        <f t="shared" si="1"/>
        <v>5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25</v>
      </c>
      <c r="B17" s="6" t="s">
        <v>26</v>
      </c>
      <c r="C17" s="10">
        <f>6/6</f>
        <v>1</v>
      </c>
      <c r="D17" s="7">
        <f>2/2</f>
        <v>1</v>
      </c>
      <c r="E17" s="10">
        <f>15/15</f>
        <v>1</v>
      </c>
      <c r="F17" s="8">
        <f t="shared" si="1"/>
        <v>3</v>
      </c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27</v>
      </c>
      <c r="B18" s="6" t="s">
        <v>28</v>
      </c>
      <c r="C18" s="7">
        <v>0.0</v>
      </c>
      <c r="D18" s="7">
        <v>0.0</v>
      </c>
      <c r="E18" s="7">
        <v>0.0</v>
      </c>
      <c r="F18" s="8">
        <f t="shared" si="1"/>
        <v>0</v>
      </c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29</v>
      </c>
      <c r="B19" s="6" t="s">
        <v>30</v>
      </c>
      <c r="C19" s="7">
        <v>0.0</v>
      </c>
      <c r="D19" s="7">
        <v>0.0</v>
      </c>
      <c r="E19" s="7">
        <v>0.0</v>
      </c>
      <c r="F19" s="8">
        <f t="shared" si="1"/>
        <v>0</v>
      </c>
      <c r="G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31</v>
      </c>
      <c r="B20" s="6" t="s">
        <v>32</v>
      </c>
      <c r="C20" s="7">
        <v>6.0</v>
      </c>
      <c r="D20" s="7">
        <v>2.0</v>
      </c>
      <c r="E20" s="7">
        <v>15.0</v>
      </c>
      <c r="F20" s="8">
        <f t="shared" si="1"/>
        <v>23</v>
      </c>
      <c r="G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33</v>
      </c>
      <c r="B21" s="6" t="s">
        <v>34</v>
      </c>
      <c r="C21" s="7">
        <v>6.0</v>
      </c>
      <c r="D21" s="7">
        <v>0.0</v>
      </c>
      <c r="E21" s="10">
        <f t="shared" ref="E21:E23" si="2">0</f>
        <v>0</v>
      </c>
      <c r="F21" s="8">
        <f t="shared" si="1"/>
        <v>6</v>
      </c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33</v>
      </c>
      <c r="B22" s="6" t="s">
        <v>35</v>
      </c>
      <c r="C22" s="7">
        <v>0.0</v>
      </c>
      <c r="D22" s="7">
        <v>1.0</v>
      </c>
      <c r="E22" s="10">
        <f t="shared" si="2"/>
        <v>0</v>
      </c>
      <c r="F22" s="8">
        <f t="shared" si="1"/>
        <v>1</v>
      </c>
      <c r="G22" s="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33</v>
      </c>
      <c r="B23" s="6" t="s">
        <v>36</v>
      </c>
      <c r="C23" s="7">
        <v>0.0</v>
      </c>
      <c r="D23" s="7">
        <v>1.0</v>
      </c>
      <c r="E23" s="10">
        <f t="shared" si="2"/>
        <v>0</v>
      </c>
      <c r="F23" s="8">
        <f t="shared" si="1"/>
        <v>1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33</v>
      </c>
      <c r="B24" s="6" t="s">
        <v>37</v>
      </c>
      <c r="C24" s="7">
        <v>0.0</v>
      </c>
      <c r="D24" s="7">
        <v>0.0</v>
      </c>
      <c r="E24" s="10">
        <f>5+5+5</f>
        <v>15</v>
      </c>
      <c r="F24" s="8">
        <f t="shared" si="1"/>
        <v>15</v>
      </c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38</v>
      </c>
      <c r="B25" s="6" t="s">
        <v>39</v>
      </c>
      <c r="C25" s="7">
        <v>1.0</v>
      </c>
      <c r="D25" s="7">
        <v>0.0</v>
      </c>
      <c r="E25" s="10">
        <f t="shared" ref="E25:E46" si="3">0</f>
        <v>0</v>
      </c>
      <c r="F25" s="8">
        <f t="shared" si="1"/>
        <v>1</v>
      </c>
      <c r="G25" s="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38</v>
      </c>
      <c r="B26" s="6" t="s">
        <v>40</v>
      </c>
      <c r="C26" s="7">
        <v>1.0</v>
      </c>
      <c r="D26" s="7">
        <v>0.0</v>
      </c>
      <c r="E26" s="10">
        <f t="shared" si="3"/>
        <v>0</v>
      </c>
      <c r="F26" s="8">
        <f t="shared" si="1"/>
        <v>1</v>
      </c>
      <c r="G26" s="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38</v>
      </c>
      <c r="B27" s="6" t="s">
        <v>41</v>
      </c>
      <c r="C27" s="7">
        <v>3.0</v>
      </c>
      <c r="D27" s="7">
        <v>0.0</v>
      </c>
      <c r="E27" s="10">
        <f t="shared" si="3"/>
        <v>0</v>
      </c>
      <c r="F27" s="8">
        <f t="shared" si="1"/>
        <v>3</v>
      </c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38</v>
      </c>
      <c r="B28" s="6" t="s">
        <v>42</v>
      </c>
      <c r="C28" s="7">
        <v>1.0</v>
      </c>
      <c r="D28" s="7">
        <v>0.0</v>
      </c>
      <c r="E28" s="10">
        <f t="shared" si="3"/>
        <v>0</v>
      </c>
      <c r="F28" s="8">
        <f t="shared" si="1"/>
        <v>1</v>
      </c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38</v>
      </c>
      <c r="B29" s="6" t="s">
        <v>43</v>
      </c>
      <c r="C29" s="7">
        <v>0.0</v>
      </c>
      <c r="D29" s="7">
        <v>0.0</v>
      </c>
      <c r="E29" s="10">
        <f t="shared" si="3"/>
        <v>0</v>
      </c>
      <c r="F29" s="8">
        <f t="shared" si="1"/>
        <v>0</v>
      </c>
      <c r="G29" s="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38</v>
      </c>
      <c r="B30" s="6" t="s">
        <v>44</v>
      </c>
      <c r="C30" s="7">
        <v>0.0</v>
      </c>
      <c r="D30" s="7">
        <v>0.0</v>
      </c>
      <c r="E30" s="10">
        <f t="shared" si="3"/>
        <v>0</v>
      </c>
      <c r="F30" s="8">
        <f t="shared" si="1"/>
        <v>0</v>
      </c>
      <c r="G30" s="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38</v>
      </c>
      <c r="B31" s="6" t="s">
        <v>45</v>
      </c>
      <c r="C31" s="7">
        <v>0.0</v>
      </c>
      <c r="D31" s="7">
        <v>0.0</v>
      </c>
      <c r="E31" s="10">
        <f t="shared" si="3"/>
        <v>0</v>
      </c>
      <c r="F31" s="8">
        <f t="shared" si="1"/>
        <v>0</v>
      </c>
      <c r="G31" s="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38</v>
      </c>
      <c r="B32" s="6" t="s">
        <v>46</v>
      </c>
      <c r="C32" s="7">
        <v>0.0</v>
      </c>
      <c r="D32" s="7">
        <v>0.0</v>
      </c>
      <c r="E32" s="10">
        <f t="shared" si="3"/>
        <v>0</v>
      </c>
      <c r="F32" s="8">
        <f t="shared" si="1"/>
        <v>0</v>
      </c>
      <c r="G32" s="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38</v>
      </c>
      <c r="B33" s="6" t="s">
        <v>47</v>
      </c>
      <c r="C33" s="7">
        <v>0.0</v>
      </c>
      <c r="D33" s="7">
        <v>0.0</v>
      </c>
      <c r="E33" s="10">
        <f t="shared" si="3"/>
        <v>0</v>
      </c>
      <c r="F33" s="8">
        <f t="shared" si="1"/>
        <v>0</v>
      </c>
      <c r="G33" s="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38</v>
      </c>
      <c r="B34" s="6" t="s">
        <v>48</v>
      </c>
      <c r="C34" s="7">
        <v>0.0</v>
      </c>
      <c r="D34" s="7">
        <v>0.0</v>
      </c>
      <c r="E34" s="10">
        <f t="shared" si="3"/>
        <v>0</v>
      </c>
      <c r="F34" s="8">
        <f t="shared" si="1"/>
        <v>0</v>
      </c>
      <c r="G34" s="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38</v>
      </c>
      <c r="B35" s="6" t="s">
        <v>49</v>
      </c>
      <c r="C35" s="7">
        <v>0.0</v>
      </c>
      <c r="D35" s="7">
        <v>0.0</v>
      </c>
      <c r="E35" s="10">
        <f t="shared" si="3"/>
        <v>0</v>
      </c>
      <c r="F35" s="8">
        <f t="shared" si="1"/>
        <v>0</v>
      </c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38</v>
      </c>
      <c r="B36" s="6" t="s">
        <v>50</v>
      </c>
      <c r="C36" s="7">
        <v>0.0</v>
      </c>
      <c r="D36" s="7">
        <v>0.0</v>
      </c>
      <c r="E36" s="10">
        <f t="shared" si="3"/>
        <v>0</v>
      </c>
      <c r="F36" s="8">
        <f t="shared" si="1"/>
        <v>0</v>
      </c>
      <c r="G36" s="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38</v>
      </c>
      <c r="B37" s="6" t="s">
        <v>51</v>
      </c>
      <c r="C37" s="7">
        <v>0.0</v>
      </c>
      <c r="D37" s="7">
        <v>0.0</v>
      </c>
      <c r="E37" s="10">
        <f t="shared" si="3"/>
        <v>0</v>
      </c>
      <c r="F37" s="8">
        <f t="shared" si="1"/>
        <v>0</v>
      </c>
      <c r="G37" s="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38</v>
      </c>
      <c r="B38" s="6" t="s">
        <v>52</v>
      </c>
      <c r="C38" s="7">
        <v>0.0</v>
      </c>
      <c r="D38" s="7">
        <v>0.0</v>
      </c>
      <c r="E38" s="10">
        <f t="shared" si="3"/>
        <v>0</v>
      </c>
      <c r="F38" s="8">
        <f t="shared" si="1"/>
        <v>0</v>
      </c>
      <c r="G38" s="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38</v>
      </c>
      <c r="B39" s="6" t="s">
        <v>53</v>
      </c>
      <c r="C39" s="7">
        <v>0.0</v>
      </c>
      <c r="D39" s="7">
        <v>0.0</v>
      </c>
      <c r="E39" s="10">
        <f t="shared" si="3"/>
        <v>0</v>
      </c>
      <c r="F39" s="8">
        <f t="shared" si="1"/>
        <v>0</v>
      </c>
      <c r="G39" s="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38</v>
      </c>
      <c r="B40" s="6" t="s">
        <v>54</v>
      </c>
      <c r="C40" s="7">
        <v>0.0</v>
      </c>
      <c r="D40" s="7">
        <v>0.0</v>
      </c>
      <c r="E40" s="10">
        <f t="shared" si="3"/>
        <v>0</v>
      </c>
      <c r="F40" s="8">
        <f t="shared" si="1"/>
        <v>0</v>
      </c>
      <c r="G40" s="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38</v>
      </c>
      <c r="B41" s="6" t="s">
        <v>55</v>
      </c>
      <c r="C41" s="7">
        <v>0.0</v>
      </c>
      <c r="D41" s="7">
        <v>0.0</v>
      </c>
      <c r="E41" s="10">
        <f t="shared" si="3"/>
        <v>0</v>
      </c>
      <c r="F41" s="8">
        <f t="shared" si="1"/>
        <v>0</v>
      </c>
      <c r="G41" s="9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38</v>
      </c>
      <c r="B42" s="6" t="s">
        <v>56</v>
      </c>
      <c r="C42" s="7">
        <v>0.0</v>
      </c>
      <c r="D42" s="7">
        <v>0.0</v>
      </c>
      <c r="E42" s="10">
        <f t="shared" si="3"/>
        <v>0</v>
      </c>
      <c r="F42" s="8">
        <f t="shared" si="1"/>
        <v>0</v>
      </c>
      <c r="G42" s="9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38</v>
      </c>
      <c r="B43" s="6" t="s">
        <v>57</v>
      </c>
      <c r="C43" s="7">
        <v>0.0</v>
      </c>
      <c r="D43" s="7">
        <v>0.0</v>
      </c>
      <c r="E43" s="10">
        <f t="shared" si="3"/>
        <v>0</v>
      </c>
      <c r="F43" s="8">
        <f t="shared" si="1"/>
        <v>0</v>
      </c>
      <c r="G43" s="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38</v>
      </c>
      <c r="B44" s="6" t="s">
        <v>58</v>
      </c>
      <c r="C44" s="7">
        <v>0.0</v>
      </c>
      <c r="D44" s="7">
        <v>0.0</v>
      </c>
      <c r="E44" s="10">
        <f t="shared" si="3"/>
        <v>0</v>
      </c>
      <c r="F44" s="8">
        <f t="shared" si="1"/>
        <v>0</v>
      </c>
      <c r="G44" s="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38</v>
      </c>
      <c r="B45" s="6" t="s">
        <v>59</v>
      </c>
      <c r="C45" s="7">
        <v>0.0</v>
      </c>
      <c r="D45" s="7">
        <v>1.0</v>
      </c>
      <c r="E45" s="10">
        <f t="shared" si="3"/>
        <v>0</v>
      </c>
      <c r="F45" s="8">
        <f t="shared" si="1"/>
        <v>1</v>
      </c>
      <c r="G45" s="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38</v>
      </c>
      <c r="B46" s="6" t="s">
        <v>60</v>
      </c>
      <c r="C46" s="7">
        <v>0.0</v>
      </c>
      <c r="D46" s="7">
        <v>1.0</v>
      </c>
      <c r="E46" s="10">
        <f t="shared" si="3"/>
        <v>0</v>
      </c>
      <c r="F46" s="8">
        <f t="shared" si="1"/>
        <v>1</v>
      </c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38</v>
      </c>
      <c r="B47" s="6" t="s">
        <v>61</v>
      </c>
      <c r="C47" s="7">
        <v>0.0</v>
      </c>
      <c r="D47" s="10">
        <f t="shared" ref="D47:E47" si="4">0</f>
        <v>0</v>
      </c>
      <c r="E47" s="10">
        <f t="shared" si="4"/>
        <v>0</v>
      </c>
      <c r="F47" s="8">
        <f t="shared" si="1"/>
        <v>0</v>
      </c>
      <c r="G47" s="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38</v>
      </c>
      <c r="B48" s="6" t="s">
        <v>62</v>
      </c>
      <c r="C48" s="7">
        <v>0.0</v>
      </c>
      <c r="D48" s="10">
        <f t="shared" ref="D48:E48" si="5">0</f>
        <v>0</v>
      </c>
      <c r="E48" s="10">
        <f t="shared" si="5"/>
        <v>0</v>
      </c>
      <c r="F48" s="8">
        <f t="shared" si="1"/>
        <v>0</v>
      </c>
      <c r="G48" s="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38</v>
      </c>
      <c r="B49" s="6" t="s">
        <v>63</v>
      </c>
      <c r="C49" s="7">
        <v>0.0</v>
      </c>
      <c r="D49" s="10">
        <f t="shared" ref="D49:D64" si="6">0</f>
        <v>0</v>
      </c>
      <c r="E49" s="7">
        <f>2+3+3</f>
        <v>8</v>
      </c>
      <c r="F49" s="8">
        <f t="shared" si="1"/>
        <v>8</v>
      </c>
      <c r="G49" s="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38</v>
      </c>
      <c r="B50" s="6" t="s">
        <v>64</v>
      </c>
      <c r="C50" s="7">
        <v>0.0</v>
      </c>
      <c r="D50" s="10">
        <f t="shared" si="6"/>
        <v>0</v>
      </c>
      <c r="E50" s="10">
        <f t="shared" ref="E50:E54" si="7">0</f>
        <v>0</v>
      </c>
      <c r="F50" s="8">
        <f t="shared" si="1"/>
        <v>0</v>
      </c>
      <c r="G50" s="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38</v>
      </c>
      <c r="B51" s="6" t="s">
        <v>65</v>
      </c>
      <c r="C51" s="7">
        <v>0.0</v>
      </c>
      <c r="D51" s="10">
        <f t="shared" si="6"/>
        <v>0</v>
      </c>
      <c r="E51" s="10">
        <f t="shared" si="7"/>
        <v>0</v>
      </c>
      <c r="F51" s="8">
        <f t="shared" si="1"/>
        <v>0</v>
      </c>
      <c r="G51" s="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38</v>
      </c>
      <c r="B52" s="6" t="s">
        <v>66</v>
      </c>
      <c r="C52" s="7">
        <v>0.0</v>
      </c>
      <c r="D52" s="10">
        <f t="shared" si="6"/>
        <v>0</v>
      </c>
      <c r="E52" s="10">
        <f t="shared" si="7"/>
        <v>0</v>
      </c>
      <c r="F52" s="8">
        <f t="shared" si="1"/>
        <v>0</v>
      </c>
      <c r="G52" s="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38</v>
      </c>
      <c r="B53" s="6" t="s">
        <v>67</v>
      </c>
      <c r="C53" s="7">
        <v>0.0</v>
      </c>
      <c r="D53" s="10">
        <f t="shared" si="6"/>
        <v>0</v>
      </c>
      <c r="E53" s="10">
        <f t="shared" si="7"/>
        <v>0</v>
      </c>
      <c r="F53" s="8">
        <f t="shared" si="1"/>
        <v>0</v>
      </c>
      <c r="G53" s="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38</v>
      </c>
      <c r="B54" s="6" t="s">
        <v>68</v>
      </c>
      <c r="C54" s="7">
        <v>0.0</v>
      </c>
      <c r="D54" s="10">
        <f t="shared" si="6"/>
        <v>0</v>
      </c>
      <c r="E54" s="10">
        <f t="shared" si="7"/>
        <v>0</v>
      </c>
      <c r="F54" s="8">
        <f t="shared" si="1"/>
        <v>0</v>
      </c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38</v>
      </c>
      <c r="B55" s="6" t="s">
        <v>69</v>
      </c>
      <c r="C55" s="7">
        <v>0.0</v>
      </c>
      <c r="D55" s="10">
        <f t="shared" si="6"/>
        <v>0</v>
      </c>
      <c r="E55" s="7">
        <f>3+1+1+1</f>
        <v>6</v>
      </c>
      <c r="F55" s="8">
        <f t="shared" si="1"/>
        <v>6</v>
      </c>
      <c r="G55" s="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38</v>
      </c>
      <c r="B56" s="6" t="s">
        <v>70</v>
      </c>
      <c r="C56" s="7">
        <v>0.0</v>
      </c>
      <c r="D56" s="10">
        <f t="shared" si="6"/>
        <v>0</v>
      </c>
      <c r="E56" s="7">
        <v>1.0</v>
      </c>
      <c r="F56" s="8">
        <f t="shared" si="1"/>
        <v>1</v>
      </c>
      <c r="G56" s="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71</v>
      </c>
      <c r="B57" s="6" t="s">
        <v>72</v>
      </c>
      <c r="C57" s="7">
        <v>0.0</v>
      </c>
      <c r="D57" s="10">
        <f t="shared" si="6"/>
        <v>0</v>
      </c>
      <c r="E57" s="10">
        <f t="shared" ref="E57:E65" si="8">0</f>
        <v>0</v>
      </c>
      <c r="F57" s="8">
        <f t="shared" si="1"/>
        <v>0</v>
      </c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71</v>
      </c>
      <c r="B58" s="6" t="s">
        <v>73</v>
      </c>
      <c r="C58" s="7">
        <v>3.0</v>
      </c>
      <c r="D58" s="10">
        <f t="shared" si="6"/>
        <v>0</v>
      </c>
      <c r="E58" s="10">
        <f t="shared" si="8"/>
        <v>0</v>
      </c>
      <c r="F58" s="8">
        <f t="shared" si="1"/>
        <v>3</v>
      </c>
      <c r="G58" s="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71</v>
      </c>
      <c r="B59" s="6" t="s">
        <v>74</v>
      </c>
      <c r="C59" s="7">
        <v>3.0</v>
      </c>
      <c r="D59" s="10">
        <f t="shared" si="6"/>
        <v>0</v>
      </c>
      <c r="E59" s="10">
        <f t="shared" si="8"/>
        <v>0</v>
      </c>
      <c r="F59" s="8">
        <f t="shared" si="1"/>
        <v>3</v>
      </c>
      <c r="G59" s="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71</v>
      </c>
      <c r="B60" s="6" t="s">
        <v>75</v>
      </c>
      <c r="C60" s="7">
        <v>0.0</v>
      </c>
      <c r="D60" s="10">
        <f t="shared" si="6"/>
        <v>0</v>
      </c>
      <c r="E60" s="10">
        <f t="shared" si="8"/>
        <v>0</v>
      </c>
      <c r="F60" s="8">
        <f t="shared" si="1"/>
        <v>0</v>
      </c>
      <c r="G60" s="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71</v>
      </c>
      <c r="B61" s="6" t="s">
        <v>76</v>
      </c>
      <c r="C61" s="7">
        <v>0.0</v>
      </c>
      <c r="D61" s="10">
        <f t="shared" si="6"/>
        <v>0</v>
      </c>
      <c r="E61" s="10">
        <f t="shared" si="8"/>
        <v>0</v>
      </c>
      <c r="F61" s="8">
        <f t="shared" si="1"/>
        <v>0</v>
      </c>
      <c r="G61" s="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71</v>
      </c>
      <c r="B62" s="6" t="s">
        <v>77</v>
      </c>
      <c r="C62" s="7">
        <v>0.0</v>
      </c>
      <c r="D62" s="10">
        <f t="shared" si="6"/>
        <v>0</v>
      </c>
      <c r="E62" s="10">
        <f t="shared" si="8"/>
        <v>0</v>
      </c>
      <c r="F62" s="8">
        <f t="shared" si="1"/>
        <v>0</v>
      </c>
      <c r="G62" s="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71</v>
      </c>
      <c r="B63" s="6" t="s">
        <v>78</v>
      </c>
      <c r="C63" s="7">
        <v>0.0</v>
      </c>
      <c r="D63" s="10">
        <f t="shared" si="6"/>
        <v>0</v>
      </c>
      <c r="E63" s="10">
        <f t="shared" si="8"/>
        <v>0</v>
      </c>
      <c r="F63" s="8">
        <f t="shared" si="1"/>
        <v>0</v>
      </c>
      <c r="G63" s="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71</v>
      </c>
      <c r="B64" s="6" t="s">
        <v>79</v>
      </c>
      <c r="C64" s="7">
        <v>0.0</v>
      </c>
      <c r="D64" s="10">
        <f t="shared" si="6"/>
        <v>0</v>
      </c>
      <c r="E64" s="10">
        <f t="shared" si="8"/>
        <v>0</v>
      </c>
      <c r="F64" s="8">
        <f t="shared" si="1"/>
        <v>0</v>
      </c>
      <c r="G64" s="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71</v>
      </c>
      <c r="B65" s="6" t="s">
        <v>80</v>
      </c>
      <c r="C65" s="7">
        <v>0.0</v>
      </c>
      <c r="D65" s="7">
        <v>2.0</v>
      </c>
      <c r="E65" s="10">
        <f t="shared" si="8"/>
        <v>0</v>
      </c>
      <c r="F65" s="8">
        <f t="shared" si="1"/>
        <v>2</v>
      </c>
      <c r="G65" s="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71</v>
      </c>
      <c r="B66" s="6" t="s">
        <v>81</v>
      </c>
      <c r="C66" s="7">
        <v>0.0</v>
      </c>
      <c r="D66" s="10">
        <f t="shared" ref="D66:D68" si="9">0</f>
        <v>0</v>
      </c>
      <c r="E66" s="7">
        <f>2+3+3</f>
        <v>8</v>
      </c>
      <c r="F66" s="8">
        <f t="shared" si="1"/>
        <v>8</v>
      </c>
      <c r="G66" s="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71</v>
      </c>
      <c r="B67" s="6" t="s">
        <v>82</v>
      </c>
      <c r="C67" s="7">
        <v>0.0</v>
      </c>
      <c r="D67" s="10">
        <f t="shared" si="9"/>
        <v>0</v>
      </c>
      <c r="E67" s="7">
        <f>3+2+2</f>
        <v>7</v>
      </c>
      <c r="F67" s="8">
        <f t="shared" si="1"/>
        <v>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71</v>
      </c>
      <c r="B68" s="6" t="s">
        <v>83</v>
      </c>
      <c r="C68" s="7">
        <v>0.0</v>
      </c>
      <c r="D68" s="10">
        <f t="shared" si="9"/>
        <v>0</v>
      </c>
      <c r="E68" s="10">
        <f>0</f>
        <v>0</v>
      </c>
      <c r="F68" s="8">
        <f t="shared" si="1"/>
        <v>0</v>
      </c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84</v>
      </c>
      <c r="B69" s="12" t="s">
        <v>85</v>
      </c>
      <c r="C69" s="7">
        <v>3.0</v>
      </c>
      <c r="D69" s="7">
        <v>2.0</v>
      </c>
      <c r="E69" s="7">
        <v>3.0</v>
      </c>
      <c r="F69" s="8">
        <f t="shared" si="1"/>
        <v>8</v>
      </c>
      <c r="G69" s="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86</v>
      </c>
      <c r="B70" s="13" t="s">
        <v>87</v>
      </c>
      <c r="C70" s="7">
        <v>1.0</v>
      </c>
      <c r="D70" s="7">
        <v>1.0</v>
      </c>
      <c r="E70" s="7">
        <v>1.0</v>
      </c>
      <c r="F70" s="8">
        <f>SUM(C70:E70)/3</f>
        <v>1</v>
      </c>
      <c r="G70" s="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88</v>
      </c>
      <c r="B71" s="13" t="s">
        <v>89</v>
      </c>
      <c r="C71" s="7">
        <v>0.0</v>
      </c>
      <c r="D71" s="7">
        <v>0.0</v>
      </c>
      <c r="E71" s="7">
        <v>0.0</v>
      </c>
      <c r="F71" s="8">
        <f>SUM(C71:E71)</f>
        <v>0</v>
      </c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 t="s">
        <v>90</v>
      </c>
      <c r="B72" s="15" t="s">
        <v>91</v>
      </c>
      <c r="C72" s="16">
        <f>6/(10+12)</f>
        <v>0.2727272727</v>
      </c>
      <c r="D72" s="16">
        <f>2/(14+8)</f>
        <v>0.09090909091</v>
      </c>
      <c r="E72" s="16">
        <f>15/((8+4)+(10+5)+(13+4))</f>
        <v>0.3409090909</v>
      </c>
      <c r="F72" s="17">
        <f>(6+2+15)/((10+12)+(14+8)+((8+4)+(10+5)+(13+4)))</f>
        <v>0.2613636364</v>
      </c>
      <c r="G72" s="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conditionalFormatting sqref="C2:F72">
    <cfRule type="cellIs" dxfId="4" priority="1" operator="equal">
      <formula>0</formula>
    </cfRule>
  </conditionalFormatting>
  <conditionalFormatting sqref="C2:F72">
    <cfRule type="cellIs" dxfId="5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