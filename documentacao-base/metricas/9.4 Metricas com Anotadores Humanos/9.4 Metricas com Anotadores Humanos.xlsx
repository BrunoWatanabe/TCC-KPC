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9.4 Metricas com Anotadores Hum" sheetId="1" r:id="rId5"/>
  </sheets>
  <definedNames/>
  <calcPr/>
</workbook>
</file>

<file path=xl/sharedStrings.xml><?xml version="1.0" encoding="utf-8"?>
<sst xmlns="http://schemas.openxmlformats.org/spreadsheetml/2006/main" count="132" uniqueCount="68">
  <si>
    <t>Metric_ID</t>
  </si>
  <si>
    <t>Subcategory</t>
  </si>
  <si>
    <t>Sprint_01</t>
  </si>
  <si>
    <t>Sprint_02</t>
  </si>
  <si>
    <t>Sprint_03</t>
  </si>
  <si>
    <t>Global</t>
  </si>
  <si>
    <t>M16</t>
  </si>
  <si>
    <t>Precisão (VP/(VP+FP))</t>
  </si>
  <si>
    <t>M17</t>
  </si>
  <si>
    <t>Revocação (VP/(VP+FN))</t>
  </si>
  <si>
    <t>n/a</t>
  </si>
  <si>
    <t>M18</t>
  </si>
  <si>
    <t>Especificidade (VN/(VN+FP))</t>
  </si>
  <si>
    <t>M19</t>
  </si>
  <si>
    <t>F1-Score (média harmônica)</t>
  </si>
  <si>
    <t>M20</t>
  </si>
  <si>
    <t>Acerto Global ((VP+VN)/Total)</t>
  </si>
  <si>
    <t>M21</t>
  </si>
  <si>
    <t>Taxa de Falso Positivo (FP/(FP+VN))</t>
  </si>
  <si>
    <t>M22</t>
  </si>
  <si>
    <t>Taxa de Falso Negativo (FN/(FN+VP))</t>
  </si>
  <si>
    <t>M23</t>
  </si>
  <si>
    <t>Acerto Global do Juiz (Corretos/Total)</t>
  </si>
  <si>
    <t>M24</t>
  </si>
  <si>
    <t>Acerto por categoria - DE (DE_corretos / Total_DE_predito)</t>
  </si>
  <si>
    <t>Acerto por categoria - AE (AE_corretos / Total_AE_predito)</t>
  </si>
  <si>
    <t>Acerto por categoria - AMBOS (AMBOS_corretos / Total_AMBOS_predito)</t>
  </si>
  <si>
    <t>Acerto por categoria - NE (NE_corretos / Total_NE_predito)</t>
  </si>
  <si>
    <t>M25</t>
  </si>
  <si>
    <t>Veredito_DE x Correto_DE (VP)</t>
  </si>
  <si>
    <t>Veredito_DE x Correto_AE (FP)</t>
  </si>
  <si>
    <t>Veredito_DE x Correto_AMBOS (FP)</t>
  </si>
  <si>
    <t>Veredito_DE x Correto_NE (FP)</t>
  </si>
  <si>
    <t>Veredito_AE x Correto_DE (FN)</t>
  </si>
  <si>
    <t>Veredito_AE x Correto_AE (VP)</t>
  </si>
  <si>
    <t>Veredito_AE x Correto_AMBOS (FP)</t>
  </si>
  <si>
    <t>Veredito_AE x Correto_NE (FP)</t>
  </si>
  <si>
    <t>Veredito_AMBOS x Correto_DE (FN)</t>
  </si>
  <si>
    <t>Veredito_AMBOS x Correto_AE (FN)</t>
  </si>
  <si>
    <t>Veredito_AMBOS x Correto_AMBOS (VP)</t>
  </si>
  <si>
    <t>Veredito_AMBOS x Correto_NE (FP)</t>
  </si>
  <si>
    <t>Veredito_NE x Correto_DE (FN)</t>
  </si>
  <si>
    <t>Veredito_NE x Correto_AE (FN)</t>
  </si>
  <si>
    <t>Veredito_NE x Correto_AMBOS (FN)</t>
  </si>
  <si>
    <t>Veredito_NE x Correto_NE (VP)</t>
  </si>
  <si>
    <t>M26</t>
  </si>
  <si>
    <t>Kappa de Cohen (concordância ajustada ao acaso)</t>
  </si>
  <si>
    <t>indefinido</t>
  </si>
  <si>
    <t>M27</t>
  </si>
  <si>
    <t>Taxa de Utilização de Evidências (usou evidência corretamente / total)</t>
  </si>
  <si>
    <t>M28</t>
  </si>
  <si>
    <t>Taxa de Consideração do Arquiteto (considerou ARG- / total)</t>
  </si>
  <si>
    <t>M29</t>
  </si>
  <si>
    <t>Taxa de Consideração do Developer (considerou DEP- / total)</t>
  </si>
  <si>
    <t>Policia</t>
  </si>
  <si>
    <t>VP</t>
  </si>
  <si>
    <t>FN</t>
  </si>
  <si>
    <t>Sprint 1</t>
  </si>
  <si>
    <t>Sprint 2</t>
  </si>
  <si>
    <t>Sprint 3</t>
  </si>
  <si>
    <t>Total</t>
  </si>
  <si>
    <t>Juiz</t>
  </si>
  <si>
    <t>Correta</t>
  </si>
  <si>
    <t>Incorreta</t>
  </si>
  <si>
    <t>Decisão Juiz</t>
  </si>
  <si>
    <t>Utilização Evidencia</t>
  </si>
  <si>
    <t>Utilização Depoimento Arquiteto</t>
  </si>
  <si>
    <t>Utilização Depoimento Developer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</si>
</sst>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4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" xfId="0" applyAlignment="1" applyFont="1" applyNumberFormat="1">
      <alignment horizontal="center"/>
    </xf>
    <xf borderId="5" fillId="0" fontId="1" numFmtId="4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4" xfId="0" applyAlignment="1" applyFont="1" applyNumberFormat="1">
      <alignment horizontal="center" readingOrder="0"/>
    </xf>
    <xf borderId="5" fillId="0" fontId="1" numFmtId="4" xfId="0" applyAlignment="1" applyBorder="1" applyFont="1" applyNumberFormat="1">
      <alignment horizontal="center" readingOrder="0"/>
    </xf>
    <xf borderId="5" fillId="0" fontId="1" numFmtId="4" xfId="0" applyAlignment="1" applyBorder="1" applyFont="1" applyNumberFormat="1">
      <alignment horizontal="center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7" fillId="0" fontId="1" numFmtId="4" xfId="0" applyAlignment="1" applyBorder="1" applyFont="1" applyNumberFormat="1">
      <alignment horizontal="center"/>
    </xf>
    <xf borderId="8" fillId="0" fontId="1" numFmtId="4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5" fillId="0" fontId="2" numFmtId="0" xfId="0" applyAlignment="1" applyBorder="1" applyFont="1">
      <alignment horizontal="center" shrinkToFit="0" vertical="bottom" wrapText="1"/>
    </xf>
    <xf borderId="5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shrinkToFit="0" vertical="bottom" wrapText="1"/>
    </xf>
    <xf borderId="6" fillId="0" fontId="2" numFmtId="0" xfId="0" applyAlignment="1" applyBorder="1" applyFont="1">
      <alignment horizontal="center" shrinkToFit="0" vertical="bottom" wrapText="1"/>
    </xf>
    <xf borderId="7" fillId="0" fontId="2" numFmtId="0" xfId="0" applyAlignment="1" applyBorder="1" applyFont="1">
      <alignment horizontal="center" vertical="bottom"/>
    </xf>
    <xf borderId="8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000000"/>
      </font>
      <fill>
        <patternFill patternType="solid">
          <fgColor rgb="FFB7B7B7"/>
          <bgColor rgb="FFB7B7B7"/>
        </patternFill>
      </fill>
      <border/>
    </dxf>
    <dxf>
      <font>
        <color rgb="FF000000"/>
      </font>
      <fill>
        <patternFill patternType="solid">
          <fgColor theme="7"/>
          <bgColor theme="7"/>
        </patternFill>
      </fill>
      <border/>
    </dxf>
    <dxf>
      <font>
        <color rgb="FF000000"/>
      </font>
      <fill>
        <patternFill patternType="solid">
          <fgColor rgb="FFEA9999"/>
          <bgColor rgb="FFEA9999"/>
        </patternFill>
      </fill>
      <border/>
    </dxf>
  </dxfs>
  <tableStyles count="1">
    <tableStyle count="3" pivot="0" name="9.4 Metricas com Anotadores Hum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G33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9.4 Metricas com Anotadores Hum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5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6</v>
      </c>
      <c r="B2" s="7" t="s">
        <v>7</v>
      </c>
      <c r="C2" s="8">
        <f>5/(5+1)</f>
        <v>0.8333333333</v>
      </c>
      <c r="D2" s="8">
        <f>2/(2+0)</f>
        <v>1</v>
      </c>
      <c r="E2" s="8">
        <f>11/(11+4)</f>
        <v>0.7333333333</v>
      </c>
      <c r="F2" s="9">
        <f>18/(18+5)</f>
        <v>0.7826086957</v>
      </c>
      <c r="G2" s="10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8</v>
      </c>
      <c r="B3" s="7" t="s">
        <v>9</v>
      </c>
      <c r="C3" s="11" t="s">
        <v>10</v>
      </c>
      <c r="D3" s="11" t="s">
        <v>10</v>
      </c>
      <c r="E3" s="11" t="s">
        <v>10</v>
      </c>
      <c r="F3" s="12" t="s">
        <v>10</v>
      </c>
      <c r="G3" s="4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11</v>
      </c>
      <c r="B4" s="7" t="s">
        <v>12</v>
      </c>
      <c r="C4" s="11" t="s">
        <v>10</v>
      </c>
      <c r="D4" s="11" t="s">
        <v>10</v>
      </c>
      <c r="E4" s="11" t="s">
        <v>10</v>
      </c>
      <c r="F4" s="12" t="s">
        <v>10</v>
      </c>
      <c r="G4" s="4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13</v>
      </c>
      <c r="B5" s="7" t="s">
        <v>14</v>
      </c>
      <c r="C5" s="11" t="s">
        <v>10</v>
      </c>
      <c r="D5" s="11" t="s">
        <v>10</v>
      </c>
      <c r="E5" s="11" t="s">
        <v>10</v>
      </c>
      <c r="F5" s="12" t="s">
        <v>10</v>
      </c>
      <c r="G5" s="4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15</v>
      </c>
      <c r="B6" s="7" t="s">
        <v>16</v>
      </c>
      <c r="C6" s="11" t="s">
        <v>10</v>
      </c>
      <c r="D6" s="11" t="s">
        <v>10</v>
      </c>
      <c r="E6" s="11" t="s">
        <v>10</v>
      </c>
      <c r="F6" s="12" t="s">
        <v>10</v>
      </c>
      <c r="G6" s="4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17</v>
      </c>
      <c r="B7" s="7" t="s">
        <v>18</v>
      </c>
      <c r="C7" s="11" t="s">
        <v>10</v>
      </c>
      <c r="D7" s="11" t="s">
        <v>10</v>
      </c>
      <c r="E7" s="11" t="s">
        <v>10</v>
      </c>
      <c r="F7" s="12" t="s">
        <v>10</v>
      </c>
      <c r="G7" s="4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19</v>
      </c>
      <c r="B8" s="7" t="s">
        <v>20</v>
      </c>
      <c r="C8" s="11" t="s">
        <v>10</v>
      </c>
      <c r="D8" s="11" t="s">
        <v>10</v>
      </c>
      <c r="E8" s="11" t="s">
        <v>10</v>
      </c>
      <c r="F8" s="12" t="s">
        <v>10</v>
      </c>
      <c r="G8" s="4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21</v>
      </c>
      <c r="B9" s="7" t="s">
        <v>22</v>
      </c>
      <c r="C9" s="8">
        <f t="shared" ref="C9:C10" si="1">5/6</f>
        <v>0.8333333333</v>
      </c>
      <c r="D9" s="8">
        <f>2/2</f>
        <v>1</v>
      </c>
      <c r="E9" s="8">
        <f>15/15</f>
        <v>1</v>
      </c>
      <c r="F9" s="9">
        <f>22/23</f>
        <v>0.9565217391</v>
      </c>
      <c r="G9" s="10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23</v>
      </c>
      <c r="B10" s="7" t="s">
        <v>24</v>
      </c>
      <c r="C10" s="8">
        <f t="shared" si="1"/>
        <v>0.8333333333</v>
      </c>
      <c r="D10" s="11">
        <v>0.0</v>
      </c>
      <c r="E10" s="11">
        <v>0.0</v>
      </c>
      <c r="F10" s="9">
        <f>5/6</f>
        <v>0.8333333333</v>
      </c>
      <c r="G10" s="10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23</v>
      </c>
      <c r="B11" s="7" t="s">
        <v>25</v>
      </c>
      <c r="C11" s="11">
        <v>0.0</v>
      </c>
      <c r="D11" s="8">
        <f t="shared" ref="D11:D12" si="2">1/1</f>
        <v>1</v>
      </c>
      <c r="E11" s="11">
        <v>0.0</v>
      </c>
      <c r="F11" s="9">
        <f t="shared" ref="F11:F12" si="3">1/1</f>
        <v>1</v>
      </c>
      <c r="G11" s="10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23</v>
      </c>
      <c r="B12" s="7" t="s">
        <v>26</v>
      </c>
      <c r="C12" s="11">
        <v>0.0</v>
      </c>
      <c r="D12" s="8">
        <f t="shared" si="2"/>
        <v>1</v>
      </c>
      <c r="E12" s="11">
        <v>0.0</v>
      </c>
      <c r="F12" s="9">
        <f t="shared" si="3"/>
        <v>1</v>
      </c>
      <c r="G12" s="10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23</v>
      </c>
      <c r="B13" s="7" t="s">
        <v>27</v>
      </c>
      <c r="C13" s="8">
        <f>0</f>
        <v>0</v>
      </c>
      <c r="D13" s="11">
        <v>0.0</v>
      </c>
      <c r="E13" s="8">
        <f t="shared" ref="E13:F13" si="4">15/15</f>
        <v>1</v>
      </c>
      <c r="F13" s="9">
        <f t="shared" si="4"/>
        <v>1</v>
      </c>
      <c r="G13" s="10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28</v>
      </c>
      <c r="B14" s="7" t="s">
        <v>29</v>
      </c>
      <c r="C14" s="11">
        <v>0.0</v>
      </c>
      <c r="D14" s="11">
        <v>0.0</v>
      </c>
      <c r="E14" s="11">
        <v>0.0</v>
      </c>
      <c r="F14" s="12">
        <v>0.0</v>
      </c>
      <c r="G14" s="4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28</v>
      </c>
      <c r="B15" s="7" t="s">
        <v>30</v>
      </c>
      <c r="C15" s="11">
        <v>0.0</v>
      </c>
      <c r="D15" s="11">
        <v>0.0</v>
      </c>
      <c r="E15" s="11">
        <v>0.0</v>
      </c>
      <c r="F15" s="12">
        <v>0.0</v>
      </c>
      <c r="G15" s="4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28</v>
      </c>
      <c r="B16" s="7" t="s">
        <v>31</v>
      </c>
      <c r="C16" s="11">
        <v>0.0</v>
      </c>
      <c r="D16" s="11">
        <v>0.0</v>
      </c>
      <c r="E16" s="11">
        <v>0.0</v>
      </c>
      <c r="F16" s="12">
        <v>0.0</v>
      </c>
      <c r="G16" s="4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28</v>
      </c>
      <c r="B17" s="7" t="s">
        <v>32</v>
      </c>
      <c r="C17" s="11">
        <v>1.0</v>
      </c>
      <c r="D17" s="11">
        <v>0.0</v>
      </c>
      <c r="E17" s="11">
        <v>0.0</v>
      </c>
      <c r="F17" s="12">
        <v>1.0</v>
      </c>
      <c r="G17" s="4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28</v>
      </c>
      <c r="B18" s="7" t="s">
        <v>33</v>
      </c>
      <c r="C18" s="11">
        <v>0.0</v>
      </c>
      <c r="D18" s="11">
        <v>0.0</v>
      </c>
      <c r="E18" s="11">
        <v>0.0</v>
      </c>
      <c r="F18" s="12">
        <v>0.0</v>
      </c>
      <c r="G18" s="4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28</v>
      </c>
      <c r="B19" s="7" t="s">
        <v>34</v>
      </c>
      <c r="C19" s="11">
        <v>0.0</v>
      </c>
      <c r="D19" s="11">
        <v>0.0</v>
      </c>
      <c r="E19" s="11">
        <v>0.0</v>
      </c>
      <c r="F19" s="12">
        <v>0.0</v>
      </c>
      <c r="G19" s="4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28</v>
      </c>
      <c r="B20" s="7" t="s">
        <v>35</v>
      </c>
      <c r="C20" s="11">
        <v>0.0</v>
      </c>
      <c r="D20" s="11">
        <v>0.0</v>
      </c>
      <c r="E20" s="11">
        <v>0.0</v>
      </c>
      <c r="F20" s="12">
        <v>0.0</v>
      </c>
      <c r="G20" s="4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28</v>
      </c>
      <c r="B21" s="7" t="s">
        <v>36</v>
      </c>
      <c r="C21" s="11">
        <v>0.0</v>
      </c>
      <c r="D21" s="11">
        <v>0.0</v>
      </c>
      <c r="E21" s="11">
        <v>0.0</v>
      </c>
      <c r="F21" s="12">
        <v>0.0</v>
      </c>
      <c r="G21" s="4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 t="s">
        <v>28</v>
      </c>
      <c r="B22" s="7" t="s">
        <v>37</v>
      </c>
      <c r="C22" s="11">
        <v>0.0</v>
      </c>
      <c r="D22" s="11">
        <v>0.0</v>
      </c>
      <c r="E22" s="11">
        <v>0.0</v>
      </c>
      <c r="F22" s="12">
        <v>0.0</v>
      </c>
      <c r="G22" s="4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 t="s">
        <v>28</v>
      </c>
      <c r="B23" s="7" t="s">
        <v>38</v>
      </c>
      <c r="C23" s="11">
        <v>0.0</v>
      </c>
      <c r="D23" s="11">
        <v>0.0</v>
      </c>
      <c r="E23" s="11">
        <v>0.0</v>
      </c>
      <c r="F23" s="12">
        <v>0.0</v>
      </c>
      <c r="G23" s="4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 t="s">
        <v>28</v>
      </c>
      <c r="B24" s="7" t="s">
        <v>39</v>
      </c>
      <c r="C24" s="11">
        <v>0.0</v>
      </c>
      <c r="D24" s="11">
        <v>0.0</v>
      </c>
      <c r="E24" s="11">
        <v>0.0</v>
      </c>
      <c r="F24" s="12">
        <v>0.0</v>
      </c>
      <c r="G24" s="4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 t="s">
        <v>28</v>
      </c>
      <c r="B25" s="7" t="s">
        <v>40</v>
      </c>
      <c r="C25" s="11">
        <v>0.0</v>
      </c>
      <c r="D25" s="11">
        <v>0.0</v>
      </c>
      <c r="E25" s="11">
        <v>0.0</v>
      </c>
      <c r="F25" s="12">
        <v>0.0</v>
      </c>
      <c r="G25" s="4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 t="s">
        <v>28</v>
      </c>
      <c r="B26" s="7" t="s">
        <v>41</v>
      </c>
      <c r="C26" s="11">
        <v>0.0</v>
      </c>
      <c r="D26" s="11">
        <v>0.0</v>
      </c>
      <c r="E26" s="11">
        <v>0.0</v>
      </c>
      <c r="F26" s="12">
        <v>0.0</v>
      </c>
      <c r="G26" s="4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 t="s">
        <v>28</v>
      </c>
      <c r="B27" s="7" t="s">
        <v>42</v>
      </c>
      <c r="C27" s="11">
        <v>0.0</v>
      </c>
      <c r="D27" s="11">
        <v>0.0</v>
      </c>
      <c r="E27" s="11">
        <v>0.0</v>
      </c>
      <c r="F27" s="12">
        <v>0.0</v>
      </c>
      <c r="G27" s="4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 t="s">
        <v>28</v>
      </c>
      <c r="B28" s="7" t="s">
        <v>43</v>
      </c>
      <c r="C28" s="11">
        <v>0.0</v>
      </c>
      <c r="D28" s="11">
        <v>0.0</v>
      </c>
      <c r="E28" s="11">
        <v>0.0</v>
      </c>
      <c r="F28" s="12">
        <v>0.0</v>
      </c>
      <c r="G28" s="4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 t="s">
        <v>28</v>
      </c>
      <c r="B29" s="7" t="s">
        <v>44</v>
      </c>
      <c r="C29" s="11">
        <v>0.0</v>
      </c>
      <c r="D29" s="11">
        <v>0.0</v>
      </c>
      <c r="E29" s="11">
        <v>0.0</v>
      </c>
      <c r="F29" s="12">
        <v>0.0</v>
      </c>
      <c r="G29" s="4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 t="s">
        <v>45</v>
      </c>
      <c r="B30" s="7" t="s">
        <v>46</v>
      </c>
      <c r="C30" s="11">
        <v>0.0</v>
      </c>
      <c r="D30" s="11" t="s">
        <v>47</v>
      </c>
      <c r="E30" s="11" t="s">
        <v>47</v>
      </c>
      <c r="F30" s="12">
        <v>0.915</v>
      </c>
      <c r="G30" s="10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 t="s">
        <v>48</v>
      </c>
      <c r="B31" s="7" t="s">
        <v>49</v>
      </c>
      <c r="C31" s="8">
        <f t="shared" ref="C31:C33" si="5">5/6</f>
        <v>0.8333333333</v>
      </c>
      <c r="D31" s="8">
        <f t="shared" ref="D31:D33" si="6">2/2</f>
        <v>1</v>
      </c>
      <c r="E31" s="8">
        <f>11/15</f>
        <v>0.7333333333</v>
      </c>
      <c r="F31" s="13">
        <f>18/23</f>
        <v>0.7826086957</v>
      </c>
      <c r="G31" s="10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 t="s">
        <v>50</v>
      </c>
      <c r="B32" s="7" t="s">
        <v>51</v>
      </c>
      <c r="C32" s="8">
        <f t="shared" si="5"/>
        <v>0.8333333333</v>
      </c>
      <c r="D32" s="8">
        <f t="shared" si="6"/>
        <v>1</v>
      </c>
      <c r="E32" s="8">
        <f t="shared" ref="E32:E33" si="7">15/15</f>
        <v>1</v>
      </c>
      <c r="F32" s="9">
        <f t="shared" ref="F32:F33" si="8">22/23</f>
        <v>0.9565217391</v>
      </c>
      <c r="G32" s="10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4" t="s">
        <v>52</v>
      </c>
      <c r="B33" s="15" t="s">
        <v>53</v>
      </c>
      <c r="C33" s="16">
        <f t="shared" si="5"/>
        <v>0.8333333333</v>
      </c>
      <c r="D33" s="16">
        <f t="shared" si="6"/>
        <v>1</v>
      </c>
      <c r="E33" s="16">
        <f t="shared" si="7"/>
        <v>1</v>
      </c>
      <c r="F33" s="17">
        <f t="shared" si="8"/>
        <v>0.9565217391</v>
      </c>
      <c r="G33" s="10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8" t="s">
        <v>54</v>
      </c>
      <c r="B35" s="19"/>
      <c r="C35" s="20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1"/>
      <c r="B36" s="22" t="s">
        <v>55</v>
      </c>
      <c r="C36" s="23" t="s">
        <v>56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21" t="s">
        <v>57</v>
      </c>
      <c r="B37" s="22">
        <v>5.0</v>
      </c>
      <c r="C37" s="24">
        <v>1.0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1" t="s">
        <v>58</v>
      </c>
      <c r="B38" s="25">
        <v>2.0</v>
      </c>
      <c r="C38" s="23">
        <v>0.0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1" t="s">
        <v>59</v>
      </c>
      <c r="B39" s="25">
        <v>4.0</v>
      </c>
      <c r="C39" s="23">
        <v>5.0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6" t="s">
        <v>60</v>
      </c>
      <c r="B40" s="27">
        <f>COUNTIFS(G33:CV33, "Sim", G$1:CV$1, "*(POL-AP-01)*") + COUNTIFS(G34:CV34, "Sim", G$1:CV$1, "*(POL-AP-01)*")</f>
        <v>0</v>
      </c>
      <c r="C40" s="28">
        <f>COUNTIFS(G33:CV33, "Não", G$1:CV$1, "*(POL-AP-01)*") + COUNTIFS(G34:CV34, "Não", G$1:CV$1, "*(POL-AP-01)*")</f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8" t="s">
        <v>61</v>
      </c>
      <c r="B42" s="19"/>
      <c r="C42" s="20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21" t="s">
        <v>60</v>
      </c>
      <c r="B43" s="22" t="s">
        <v>62</v>
      </c>
      <c r="C43" s="24" t="s">
        <v>63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1" t="s">
        <v>64</v>
      </c>
      <c r="B44" s="29">
        <v>22.0</v>
      </c>
      <c r="C44" s="30">
        <v>1.0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1" t="s">
        <v>65</v>
      </c>
      <c r="B45" s="29">
        <v>18.0</v>
      </c>
      <c r="C45" s="30">
        <v>5.0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1" t="s">
        <v>66</v>
      </c>
      <c r="B46" s="29">
        <v>22.0</v>
      </c>
      <c r="C46" s="30">
        <v>1.0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21" t="s">
        <v>67</v>
      </c>
      <c r="B47" s="29">
        <v>22.0</v>
      </c>
      <c r="C47" s="30">
        <v>1.0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1"/>
      <c r="B48" s="22"/>
      <c r="C48" s="24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1" t="s">
        <v>57</v>
      </c>
      <c r="B49" s="22" t="s">
        <v>62</v>
      </c>
      <c r="C49" s="24" t="s">
        <v>63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1" t="s">
        <v>64</v>
      </c>
      <c r="B50" s="22">
        <v>5.0</v>
      </c>
      <c r="C50" s="24">
        <v>1.0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1" t="s">
        <v>65</v>
      </c>
      <c r="B51" s="22">
        <v>5.0</v>
      </c>
      <c r="C51" s="24">
        <v>1.0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1" t="s">
        <v>66</v>
      </c>
      <c r="B52" s="22">
        <v>5.0</v>
      </c>
      <c r="C52" s="24">
        <v>1.0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1" t="s">
        <v>67</v>
      </c>
      <c r="B53" s="22">
        <v>5.0</v>
      </c>
      <c r="C53" s="24">
        <v>1.0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1"/>
      <c r="B54" s="22"/>
      <c r="C54" s="24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1" t="s">
        <v>58</v>
      </c>
      <c r="B55" s="22" t="s">
        <v>62</v>
      </c>
      <c r="C55" s="24" t="s">
        <v>63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1" t="s">
        <v>64</v>
      </c>
      <c r="B56" s="22">
        <v>2.0</v>
      </c>
      <c r="C56" s="24">
        <f>COUNTIFS(H52:EB52, "Não", H$1:EB$1, "*(JUI-01)*") + COUNTIFS(H53:EB53, "Não", H$1:EB$1, "*(JUI-01)*")</f>
        <v>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1" t="s">
        <v>65</v>
      </c>
      <c r="B57" s="22">
        <v>2.0</v>
      </c>
      <c r="C57" s="24">
        <f>COUNTIFS(H52:EB52, "Não", H$1:EB$1, "*(JUI-02)*") + COUNTIFS(H53:EB53, "Não", H$1:EB$1, "*(JUI-02)*")</f>
        <v>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1" t="s">
        <v>66</v>
      </c>
      <c r="B58" s="22">
        <v>2.0</v>
      </c>
      <c r="C58" s="24">
        <f>COUNTIFS(H52:EB52, "Não", H$1:EB$1, "*(JUI-03)*") + COUNTIFS(H53:EB53, "Não", H$1:EB$1, "*(JUI-03)*")</f>
        <v>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1" t="s">
        <v>67</v>
      </c>
      <c r="B59" s="22">
        <v>2.0</v>
      </c>
      <c r="C59" s="24">
        <f>COUNTIFS(G52:EA52, "Não", G$1:EA$1, "*(JUI-04)*") + COUNTIFS(G53:EA53, "Não", G$1:EA$1, "*(JUI-04)*")</f>
        <v>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1"/>
      <c r="B60" s="22"/>
      <c r="C60" s="24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1" t="s">
        <v>59</v>
      </c>
      <c r="B61" s="22" t="s">
        <v>62</v>
      </c>
      <c r="C61" s="24" t="s">
        <v>63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1" t="s">
        <v>64</v>
      </c>
      <c r="B62" s="22">
        <v>15.0</v>
      </c>
      <c r="C62" s="24">
        <f>COUNTIFS(H58:EB58, "Não", H$1:EB$1, "*(JUI-01)*") + COUNTIFS(H59:EB59, "Não", H$1:EB$1, "*(JUI-01)*")</f>
        <v>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1" t="s">
        <v>65</v>
      </c>
      <c r="B63" s="22">
        <v>11.0</v>
      </c>
      <c r="C63" s="24">
        <v>4.0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1" t="s">
        <v>66</v>
      </c>
      <c r="B64" s="22">
        <v>15.0</v>
      </c>
      <c r="C64" s="24">
        <f>COUNTIFS(H58:EB58, "Não", H$1:EB$1, "*(JUI-03)*") + COUNTIFS(H59:EB59, "Não", H$1:EB$1, "*(JUI-03)*")</f>
        <v>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31" t="s">
        <v>67</v>
      </c>
      <c r="B65" s="27">
        <v>15.0</v>
      </c>
      <c r="C65" s="28">
        <f>COUNTIFS(G58:EA58, "Não", G$1:EA$1, "*(JUI-04)*") + COUNTIFS(G59:EA59, "Não", G$1:EA$1, "*(JUI-04)*")</f>
        <v>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conditionalFormatting sqref="A1:F33">
    <cfRule type="cellIs" dxfId="4" priority="1" operator="equal">
      <formula>0</formula>
    </cfRule>
  </conditionalFormatting>
  <conditionalFormatting sqref="A1:F33">
    <cfRule type="cellIs" dxfId="5" priority="2" operator="greaterThan">
      <formula>0</formula>
    </cfRule>
  </conditionalFormatting>
  <conditionalFormatting sqref="C2:F33">
    <cfRule type="cellIs" dxfId="6" priority="3" operator="notEqual">
      <formula>0</formula>
    </cfRule>
  </conditionalFormatting>
  <drawing r:id="rId1"/>
  <tableParts count="1">
    <tablePart r:id="rId3"/>
  </tableParts>
</worksheet>
</file>